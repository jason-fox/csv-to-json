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Korhogo" sheetId="1" state="visible" r:id="rId3"/>
    <sheet name="Bondoukou" sheetId="2" state="visible" r:id="rId4"/>
    <sheet name="Man" sheetId="3" state="visible" r:id="rId5"/>
    <sheet name="Yakro" sheetId="4" state="visible" r:id="rId6"/>
    <sheet name="Abidjan" sheetId="5" state="visible" r:id="rId7"/>
    <sheet name="SanPedro" sheetId="6" state="visible" r:id="rId8"/>
  </sheets>
  <externalReferences>
    <externalReference r:id="rId1"/>
    <externalReference r:id="rId2"/>
  </externalReferences>
  <definedNames>
    <definedName name="bq">'[1]Dimbokro'!$O$202:$O$231,'[1]Dimbokro'!$AC$202:$AC$231,'[1]Dimbokro'!$AR$202:$AR$231</definedName>
    <definedName name="Resultats6">'[2]Dimbokro'!$O$202:$O$231,'[2]Dimbokro'!$AC$202:$AC$231,'[2]Dimbokro'!$AR$202:$AR$231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<sst xmlns="http://schemas.openxmlformats.org/spreadsheetml/2006/main" count="31" uniqueCount="31">
  <si>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 xml:space="preserve">Korhogo : NORMALES CLIMATOLOGIQUES </t>
  </si>
  <si>
    <t xml:space="preserve">Période : 1991-2020</t>
  </si>
  <si>
    <t xml:space="preserve">Paramètres       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</si>
  <si>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</si>
  <si>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</si>
  <si>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</si>
  <si>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</si>
  <si>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</si>
  <si>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</si>
  <si>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</si>
  <si>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</si>
  <si>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</si>
  <si>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</si>
  <si>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</si>
  <si>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</si>
  <si>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 xml:space="preserve">Moyenne Annuelle</t>
  </si>
  <si>
    <t>Tmoyenne</t>
  </si>
  <si>
    <t xml:space="preserve">Tmax moyenne</t>
  </si>
  <si>
    <t xml:space="preserve">Tmini moyenne</t>
  </si>
  <si>
    <t xml:space="preserve">U moyenne</t>
  </si>
  <si>
    <t xml:space="preserve">Umax moyenne</t>
  </si>
  <si>
    <t xml:space="preserve">Umini moyenne</t>
  </si>
  <si>
    <t xml:space="preserve">Total Annuel</t>
  </si>
  <si>
    <t xml:space="preserve">Hauteur pluie </t>
  </si>
  <si>
    <t xml:space="preserve">Nombre jours pluie</t>
  </si>
  <si>
    <t xml:space="preserve">Bondoukou : NORMALES CLIMATOLOGIQUES </t>
  </si>
  <si>
    <t xml:space="preserve">Man : NORMALES CLIMATOLOGIQUES </t>
  </si>
  <si>
    <t xml:space="preserve">Yamoussoukro : NORMALES CLIMATOLOGIQUES </t>
  </si>
  <si>
    <t xml:space="preserve"> = Valeur de 71-2000</t>
  </si>
  <si>
    <t xml:space="preserve">Abidjan : NORMALES CLIMATOLOGIQUES </t>
  </si>
  <si>
    <t xml:space="preserve">San Pédro : NORMALES CLIMATOLOGIQUES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</si>
</sst>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>
    <font>
      <sz val="10.000000"/>
      <color theme="1"/>
      <name val="Arial"/>
    </font>
    <font>
      <sz val="10.000000"/>
      <color indexed="64"/>
      <name val="MS Sans Serif"/>
    </font>
    <font>
      <b/>
      <sz val="14.000000"/>
      <name val="Arial"/>
    </font>
    <font>
      <b/>
      <sz val="12.000000"/>
      <name val="Arial"/>
    </font>
    <font>
      <b/>
      <sz val="10.000000"/>
      <name val="Arial"/>
    </font>
    <font>
      <sz val="11.000000"/>
      <name val="Arial"/>
    </font>
    <font>
      <sz val="10.0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21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dotted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dotted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dotted">
        <color auto="1"/>
      </bottom>
      <diagonal style="none"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 style="none"/>
    </border>
    <border>
      <left style="medium">
        <color auto="1"/>
      </left>
      <right style="none"/>
      <top style="dotted">
        <color auto="1"/>
      </top>
      <bottom style="dotted">
        <color auto="1"/>
      </bottom>
      <diagonal style="none"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 style="none"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dotted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42">
    <xf fontId="0" fillId="0" borderId="0" numFmtId="0" xfId="0"/>
    <xf fontId="2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4" fillId="0" borderId="1" numFmtId="0" xfId="0" applyFont="1" applyBorder="1" applyAlignment="1">
      <alignment horizontal="left" vertical="center"/>
    </xf>
    <xf fontId="0" fillId="0" borderId="2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 wrapText="1"/>
    </xf>
    <xf fontId="0" fillId="0" borderId="5" numFmtId="0" xfId="0" applyBorder="1"/>
    <xf fontId="0" fillId="0" borderId="6" numFmtId="164" xfId="0" applyNumberFormat="1" applyBorder="1" applyAlignment="1">
      <alignment horizontal="center" vertical="center"/>
    </xf>
    <xf fontId="0" fillId="0" borderId="7" numFmtId="164" xfId="0" applyNumberFormat="1" applyBorder="1" applyAlignment="1">
      <alignment horizontal="center" vertical="center"/>
    </xf>
    <xf fontId="0" fillId="0" borderId="8" numFmtId="164" xfId="0" applyNumberFormat="1" applyBorder="1" applyAlignment="1">
      <alignment horizontal="center" vertical="center"/>
    </xf>
    <xf fontId="0" fillId="0" borderId="9" numFmtId="0" xfId="0" applyBorder="1"/>
    <xf fontId="0" fillId="0" borderId="10" numFmtId="164" xfId="0" applyNumberFormat="1" applyBorder="1" applyAlignment="1">
      <alignment horizontal="center" vertical="center"/>
    </xf>
    <xf fontId="0" fillId="0" borderId="11" numFmtId="164" xfId="0" applyNumberFormat="1" applyBorder="1" applyAlignment="1">
      <alignment horizontal="center" vertical="center"/>
    </xf>
    <xf fontId="0" fillId="0" borderId="10" numFmtId="1" xfId="0" applyNumberFormat="1" applyBorder="1" applyAlignment="1">
      <alignment horizontal="center" vertical="center"/>
    </xf>
    <xf fontId="0" fillId="0" borderId="11" numFmtId="1" xfId="0" applyNumberFormat="1" applyBorder="1" applyAlignment="1">
      <alignment horizontal="center" vertical="center"/>
    </xf>
    <xf fontId="0" fillId="0" borderId="0" numFmtId="164" xfId="0" applyNumberFormat="1" applyAlignment="1">
      <alignment horizontal="center" vertical="center"/>
    </xf>
    <xf fontId="4" fillId="0" borderId="12" numFmtId="0" xfId="0" applyFont="1" applyBorder="1" applyAlignment="1">
      <alignment horizontal="left" vertical="center"/>
    </xf>
    <xf fontId="0" fillId="0" borderId="13" numFmtId="0" xfId="0" applyBorder="1" applyAlignment="1">
      <alignment horizontal="center" vertical="center"/>
    </xf>
    <xf fontId="0" fillId="0" borderId="14" numFmtId="0" xfId="0" applyBorder="1"/>
    <xf fontId="5" fillId="0" borderId="10" numFmtId="164" xfId="0" applyNumberFormat="1" applyFont="1" applyBorder="1" applyAlignment="1">
      <alignment horizontal="center" vertical="center"/>
    </xf>
    <xf fontId="5" fillId="0" borderId="11" numFmtId="164" xfId="0" applyNumberFormat="1" applyFont="1" applyBorder="1" applyAlignment="1">
      <alignment horizontal="center" vertical="center"/>
    </xf>
    <xf fontId="6" fillId="0" borderId="10" numFmtId="164" xfId="0" applyNumberFormat="1" applyFont="1" applyBorder="1" applyAlignment="1">
      <alignment horizontal="center" vertical="center"/>
    </xf>
    <xf fontId="6" fillId="0" borderId="11" numFmtId="164" xfId="0" applyNumberFormat="1" applyFont="1" applyBorder="1" applyAlignment="1">
      <alignment horizontal="center" vertical="center"/>
    </xf>
    <xf fontId="0" fillId="2" borderId="0" numFmtId="0" xfId="0" applyFill="1"/>
    <xf fontId="6" fillId="0" borderId="0" numFmtId="0" xfId="0" applyFont="1" quotePrefix="1"/>
    <xf fontId="0" fillId="0" borderId="15" numFmtId="0" xfId="0" applyBorder="1"/>
    <xf fontId="0" fillId="0" borderId="16" numFmtId="164" xfId="0" applyNumberFormat="1" applyBorder="1" applyAlignment="1">
      <alignment horizontal="center" vertical="center"/>
    </xf>
    <xf fontId="0" fillId="0" borderId="10" numFmtId="0" xfId="0" applyBorder="1"/>
    <xf fontId="0" fillId="0" borderId="11" numFmtId="1" xfId="0" applyNumberFormat="1" applyBorder="1" applyAlignment="1">
      <alignment horizontal="center"/>
    </xf>
    <xf fontId="0" fillId="0" borderId="11" numFmtId="164" xfId="0" applyNumberFormat="1" applyBorder="1" applyAlignment="1">
      <alignment horizontal="center" vertical="center" wrapText="1"/>
    </xf>
    <xf fontId="0" fillId="0" borderId="10" numFmtId="164" xfId="0" applyNumberFormat="1" applyBorder="1" applyAlignment="1">
      <alignment horizontal="center"/>
    </xf>
    <xf fontId="0" fillId="0" borderId="11" numFmtId="164" xfId="0" applyNumberFormat="1" applyBorder="1" applyAlignment="1">
      <alignment horizontal="center"/>
    </xf>
    <xf fontId="6" fillId="0" borderId="0" numFmtId="0" xfId="0" applyFont="1"/>
    <xf fontId="0" fillId="0" borderId="7" numFmtId="2" xfId="0" applyNumberFormat="1" applyBorder="1" applyAlignment="1">
      <alignment horizontal="center" vertical="center"/>
    </xf>
    <xf fontId="0" fillId="0" borderId="17" numFmtId="164" xfId="0" applyNumberFormat="1" applyBorder="1" applyAlignment="1">
      <alignment horizontal="center" vertical="center"/>
    </xf>
    <xf fontId="0" fillId="0" borderId="10" numFmtId="1" xfId="0" applyNumberFormat="1" applyBorder="1" applyAlignment="1">
      <alignment horizontal="center"/>
    </xf>
    <xf fontId="0" fillId="0" borderId="10" numFmtId="164" xfId="0" applyNumberFormat="1" applyBorder="1" applyAlignment="1">
      <alignment horizontal="center" vertical="center" wrapText="1"/>
    </xf>
    <xf fontId="4" fillId="0" borderId="18" numFmtId="0" xfId="0" applyFont="1" applyBorder="1" applyAlignment="1">
      <alignment horizontal="left" vertical="center"/>
    </xf>
    <xf fontId="0" fillId="0" borderId="19" numFmtId="0" xfId="0" applyBorder="1" applyAlignment="1">
      <alignment horizontal="center" vertical="center"/>
    </xf>
    <xf fontId="0" fillId="0" borderId="20" numFmtId="0" xfId="0" applyBorder="1" applyAlignment="1">
      <alignment horizontal="center" vertical="center"/>
    </xf>
    <xf fontId="0" fillId="0" borderId="15" numFmtId="164" xfId="0" applyNumberFormat="1" applyBorder="1" applyAlignment="1">
      <alignment horizontal="center" vertical="center"/>
    </xf>
  </cellXfs>
  <cellStyles count="2">
    <cellStyle name="Normal" xfId="0" builtinId="0"/>
    <cellStyle name="Normal_OUANGOLO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externalLink" Target="externalLinks/externalLink2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_rels/drawing3.xml.rels><?xml version="1.0" encoding="UTF-8" standalone="yes"?><Relationships xmlns="http://schemas.openxmlformats.org/package/2006/relationships"></Relationships>
</file>

<file path=xl/drawings/_rels/drawing4.xml.rels><?xml version="1.0" encoding="UTF-8" standalone="yes"?><Relationships xmlns="http://schemas.openxmlformats.org/package/2006/relationships"></Relationships>
</file>

<file path=xl/drawings/_rels/drawing5.xml.rels><?xml version="1.0" encoding="UTF-8" standalone="yes"?><Relationships xmlns="http://schemas.openxmlformats.org/package/2006/relationships"></Relationships>
</file>

<file path=xl/drawings/_rels/drawing6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13</xdr:col>
      <xdr:colOff>0</xdr:colOff>
      <xdr:row>11</xdr:row>
      <xdr:rowOff>0</xdr:rowOff>
    </xdr:from>
    <xdr:to>
      <xdr:col>14</xdr:col>
      <xdr:colOff>0</xdr:colOff>
      <xdr:row>12</xdr:row>
      <xdr:rowOff>180974</xdr:rowOff>
    </xdr:to>
    <xdr:sp>
      <xdr:nvSpPr>
        <xdr:cNvPr id="1259" name="Line 1"/>
        <xdr:cNvSpPr>
          <a:spLocks noChangeShapeType="1"/>
        </xdr:cNvSpPr>
      </xdr:nvSpPr>
      <xdr:spPr bwMode="auto">
        <a:xfrm>
          <a:off x="8331199" y="2012949"/>
          <a:ext cx="666749" cy="244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28575</xdr:rowOff>
    </xdr:from>
    <xdr:to>
      <xdr:col>13</xdr:col>
      <xdr:colOff>0</xdr:colOff>
      <xdr:row>12</xdr:row>
      <xdr:rowOff>0</xdr:rowOff>
    </xdr:to>
    <xdr:sp>
      <xdr:nvSpPr>
        <xdr:cNvPr id="1260" name="Line 2"/>
        <xdr:cNvSpPr>
          <a:spLocks noChangeShapeType="1"/>
        </xdr:cNvSpPr>
      </xdr:nvSpPr>
      <xdr:spPr bwMode="auto">
        <a:xfrm flipH="1">
          <a:off x="8331199" y="2041524"/>
          <a:ext cx="0" cy="349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0</xdr:rowOff>
    </xdr:from>
    <xdr:to>
      <xdr:col>14</xdr:col>
      <xdr:colOff>0</xdr:colOff>
      <xdr:row>12</xdr:row>
      <xdr:rowOff>180974</xdr:rowOff>
    </xdr:to>
    <xdr:sp>
      <xdr:nvSpPr>
        <xdr:cNvPr id="1261" name="Line 1"/>
        <xdr:cNvSpPr>
          <a:spLocks noChangeShapeType="1"/>
        </xdr:cNvSpPr>
      </xdr:nvSpPr>
      <xdr:spPr bwMode="auto">
        <a:xfrm>
          <a:off x="8331199" y="2012949"/>
          <a:ext cx="666749" cy="244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28575</xdr:rowOff>
    </xdr:from>
    <xdr:to>
      <xdr:col>13</xdr:col>
      <xdr:colOff>0</xdr:colOff>
      <xdr:row>12</xdr:row>
      <xdr:rowOff>0</xdr:rowOff>
    </xdr:to>
    <xdr:sp>
      <xdr:nvSpPr>
        <xdr:cNvPr id="1262" name="Line 2"/>
        <xdr:cNvSpPr>
          <a:spLocks noChangeShapeType="1"/>
        </xdr:cNvSpPr>
      </xdr:nvSpPr>
      <xdr:spPr bwMode="auto">
        <a:xfrm flipH="1">
          <a:off x="8331199" y="2041524"/>
          <a:ext cx="0" cy="349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13</xdr:col>
      <xdr:colOff>0</xdr:colOff>
      <xdr:row>11</xdr:row>
      <xdr:rowOff>0</xdr:rowOff>
    </xdr:from>
    <xdr:to>
      <xdr:col>14</xdr:col>
      <xdr:colOff>0</xdr:colOff>
      <xdr:row>12</xdr:row>
      <xdr:rowOff>180974</xdr:rowOff>
    </xdr:to>
    <xdr:sp>
      <xdr:nvSpPr>
        <xdr:cNvPr id="3309" name="Line 1"/>
        <xdr:cNvSpPr>
          <a:spLocks noChangeShapeType="1"/>
        </xdr:cNvSpPr>
      </xdr:nvSpPr>
      <xdr:spPr bwMode="auto">
        <a:xfrm>
          <a:off x="8439149" y="1987549"/>
          <a:ext cx="584199" cy="244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28575</xdr:rowOff>
    </xdr:from>
    <xdr:to>
      <xdr:col>13</xdr:col>
      <xdr:colOff>0</xdr:colOff>
      <xdr:row>12</xdr:row>
      <xdr:rowOff>0</xdr:rowOff>
    </xdr:to>
    <xdr:sp>
      <xdr:nvSpPr>
        <xdr:cNvPr id="3310" name="Line 2"/>
        <xdr:cNvSpPr>
          <a:spLocks noChangeShapeType="1"/>
        </xdr:cNvSpPr>
      </xdr:nvSpPr>
      <xdr:spPr bwMode="auto">
        <a:xfrm flipH="1">
          <a:off x="8439149" y="2016124"/>
          <a:ext cx="0" cy="349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0</xdr:rowOff>
    </xdr:from>
    <xdr:to>
      <xdr:col>14</xdr:col>
      <xdr:colOff>0</xdr:colOff>
      <xdr:row>12</xdr:row>
      <xdr:rowOff>180974</xdr:rowOff>
    </xdr:to>
    <xdr:sp>
      <xdr:nvSpPr>
        <xdr:cNvPr id="3311" name="Line 1"/>
        <xdr:cNvSpPr>
          <a:spLocks noChangeShapeType="1"/>
        </xdr:cNvSpPr>
      </xdr:nvSpPr>
      <xdr:spPr bwMode="auto">
        <a:xfrm>
          <a:off x="8439149" y="1987549"/>
          <a:ext cx="584199" cy="244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28575</xdr:rowOff>
    </xdr:from>
    <xdr:to>
      <xdr:col>13</xdr:col>
      <xdr:colOff>0</xdr:colOff>
      <xdr:row>12</xdr:row>
      <xdr:rowOff>0</xdr:rowOff>
    </xdr:to>
    <xdr:sp>
      <xdr:nvSpPr>
        <xdr:cNvPr id="3312" name="Line 2"/>
        <xdr:cNvSpPr>
          <a:spLocks noChangeShapeType="1"/>
        </xdr:cNvSpPr>
      </xdr:nvSpPr>
      <xdr:spPr bwMode="auto">
        <a:xfrm flipH="1">
          <a:off x="8439149" y="2016124"/>
          <a:ext cx="0" cy="349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13</xdr:col>
      <xdr:colOff>0</xdr:colOff>
      <xdr:row>11</xdr:row>
      <xdr:rowOff>0</xdr:rowOff>
    </xdr:from>
    <xdr:to>
      <xdr:col>14</xdr:col>
      <xdr:colOff>0</xdr:colOff>
      <xdr:row>12</xdr:row>
      <xdr:rowOff>180974</xdr:rowOff>
    </xdr:to>
    <xdr:sp>
      <xdr:nvSpPr>
        <xdr:cNvPr id="6381" name="Line 1"/>
        <xdr:cNvSpPr>
          <a:spLocks noChangeShapeType="1"/>
        </xdr:cNvSpPr>
      </xdr:nvSpPr>
      <xdr:spPr bwMode="auto">
        <a:xfrm>
          <a:off x="8381999" y="2012949"/>
          <a:ext cx="584199" cy="244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28575</xdr:rowOff>
    </xdr:from>
    <xdr:to>
      <xdr:col>13</xdr:col>
      <xdr:colOff>0</xdr:colOff>
      <xdr:row>12</xdr:row>
      <xdr:rowOff>0</xdr:rowOff>
    </xdr:to>
    <xdr:sp>
      <xdr:nvSpPr>
        <xdr:cNvPr id="6382" name="Line 2"/>
        <xdr:cNvSpPr>
          <a:spLocks noChangeShapeType="1"/>
        </xdr:cNvSpPr>
      </xdr:nvSpPr>
      <xdr:spPr bwMode="auto">
        <a:xfrm flipH="1">
          <a:off x="8381999" y="2041524"/>
          <a:ext cx="0" cy="349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0</xdr:rowOff>
    </xdr:from>
    <xdr:to>
      <xdr:col>14</xdr:col>
      <xdr:colOff>0</xdr:colOff>
      <xdr:row>12</xdr:row>
      <xdr:rowOff>180974</xdr:rowOff>
    </xdr:to>
    <xdr:sp>
      <xdr:nvSpPr>
        <xdr:cNvPr id="6383" name="Line 1"/>
        <xdr:cNvSpPr>
          <a:spLocks noChangeShapeType="1"/>
        </xdr:cNvSpPr>
      </xdr:nvSpPr>
      <xdr:spPr bwMode="auto">
        <a:xfrm>
          <a:off x="8381999" y="2012949"/>
          <a:ext cx="584199" cy="244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28575</xdr:rowOff>
    </xdr:from>
    <xdr:to>
      <xdr:col>13</xdr:col>
      <xdr:colOff>0</xdr:colOff>
      <xdr:row>12</xdr:row>
      <xdr:rowOff>0</xdr:rowOff>
    </xdr:to>
    <xdr:sp>
      <xdr:nvSpPr>
        <xdr:cNvPr id="6384" name="Line 2"/>
        <xdr:cNvSpPr>
          <a:spLocks noChangeShapeType="1"/>
        </xdr:cNvSpPr>
      </xdr:nvSpPr>
      <xdr:spPr bwMode="auto">
        <a:xfrm flipH="1">
          <a:off x="8381999" y="2041524"/>
          <a:ext cx="0" cy="349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13</xdr:col>
      <xdr:colOff>0</xdr:colOff>
      <xdr:row>11</xdr:row>
      <xdr:rowOff>0</xdr:rowOff>
    </xdr:from>
    <xdr:to>
      <xdr:col>14</xdr:col>
      <xdr:colOff>0</xdr:colOff>
      <xdr:row>12</xdr:row>
      <xdr:rowOff>180974</xdr:rowOff>
    </xdr:to>
    <xdr:sp>
      <xdr:nvSpPr>
        <xdr:cNvPr id="8429" name="Line 1"/>
        <xdr:cNvSpPr>
          <a:spLocks noChangeShapeType="1"/>
        </xdr:cNvSpPr>
      </xdr:nvSpPr>
      <xdr:spPr bwMode="auto">
        <a:xfrm>
          <a:off x="8381999" y="1987549"/>
          <a:ext cx="584199" cy="244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28575</xdr:rowOff>
    </xdr:from>
    <xdr:to>
      <xdr:col>13</xdr:col>
      <xdr:colOff>0</xdr:colOff>
      <xdr:row>12</xdr:row>
      <xdr:rowOff>0</xdr:rowOff>
    </xdr:to>
    <xdr:sp>
      <xdr:nvSpPr>
        <xdr:cNvPr id="8430" name="Line 2"/>
        <xdr:cNvSpPr>
          <a:spLocks noChangeShapeType="1"/>
        </xdr:cNvSpPr>
      </xdr:nvSpPr>
      <xdr:spPr bwMode="auto">
        <a:xfrm flipH="1">
          <a:off x="8381999" y="2016124"/>
          <a:ext cx="0" cy="349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0</xdr:rowOff>
    </xdr:from>
    <xdr:to>
      <xdr:col>14</xdr:col>
      <xdr:colOff>0</xdr:colOff>
      <xdr:row>12</xdr:row>
      <xdr:rowOff>180974</xdr:rowOff>
    </xdr:to>
    <xdr:sp>
      <xdr:nvSpPr>
        <xdr:cNvPr id="8431" name="Line 1"/>
        <xdr:cNvSpPr>
          <a:spLocks noChangeShapeType="1"/>
        </xdr:cNvSpPr>
      </xdr:nvSpPr>
      <xdr:spPr bwMode="auto">
        <a:xfrm>
          <a:off x="8381999" y="1987549"/>
          <a:ext cx="584199" cy="244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28575</xdr:rowOff>
    </xdr:from>
    <xdr:to>
      <xdr:col>13</xdr:col>
      <xdr:colOff>0</xdr:colOff>
      <xdr:row>12</xdr:row>
      <xdr:rowOff>0</xdr:rowOff>
    </xdr:to>
    <xdr:sp>
      <xdr:nvSpPr>
        <xdr:cNvPr id="8432" name="Line 2"/>
        <xdr:cNvSpPr>
          <a:spLocks noChangeShapeType="1"/>
        </xdr:cNvSpPr>
      </xdr:nvSpPr>
      <xdr:spPr bwMode="auto">
        <a:xfrm flipH="1">
          <a:off x="8381999" y="2016124"/>
          <a:ext cx="0" cy="349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13</xdr:col>
      <xdr:colOff>0</xdr:colOff>
      <xdr:row>11</xdr:row>
      <xdr:rowOff>0</xdr:rowOff>
    </xdr:from>
    <xdr:to>
      <xdr:col>14</xdr:col>
      <xdr:colOff>0</xdr:colOff>
      <xdr:row>12</xdr:row>
      <xdr:rowOff>180974</xdr:rowOff>
    </xdr:to>
    <xdr:sp>
      <xdr:nvSpPr>
        <xdr:cNvPr id="11496" name="Line 1"/>
        <xdr:cNvSpPr>
          <a:spLocks noChangeShapeType="1"/>
        </xdr:cNvSpPr>
      </xdr:nvSpPr>
      <xdr:spPr bwMode="auto">
        <a:xfrm>
          <a:off x="8407399" y="2012949"/>
          <a:ext cx="698499" cy="244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28575</xdr:rowOff>
    </xdr:from>
    <xdr:to>
      <xdr:col>13</xdr:col>
      <xdr:colOff>0</xdr:colOff>
      <xdr:row>12</xdr:row>
      <xdr:rowOff>0</xdr:rowOff>
    </xdr:to>
    <xdr:sp>
      <xdr:nvSpPr>
        <xdr:cNvPr id="11497" name="Line 2"/>
        <xdr:cNvSpPr>
          <a:spLocks noChangeShapeType="1"/>
        </xdr:cNvSpPr>
      </xdr:nvSpPr>
      <xdr:spPr bwMode="auto">
        <a:xfrm flipH="1">
          <a:off x="8407399" y="2041524"/>
          <a:ext cx="0" cy="349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0</xdr:rowOff>
    </xdr:from>
    <xdr:to>
      <xdr:col>14</xdr:col>
      <xdr:colOff>0</xdr:colOff>
      <xdr:row>12</xdr:row>
      <xdr:rowOff>180974</xdr:rowOff>
    </xdr:to>
    <xdr:sp>
      <xdr:nvSpPr>
        <xdr:cNvPr id="11498" name="Line 1"/>
        <xdr:cNvSpPr>
          <a:spLocks noChangeShapeType="1"/>
        </xdr:cNvSpPr>
      </xdr:nvSpPr>
      <xdr:spPr bwMode="auto">
        <a:xfrm>
          <a:off x="8407399" y="2012949"/>
          <a:ext cx="698499" cy="244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28575</xdr:rowOff>
    </xdr:from>
    <xdr:to>
      <xdr:col>13</xdr:col>
      <xdr:colOff>0</xdr:colOff>
      <xdr:row>12</xdr:row>
      <xdr:rowOff>0</xdr:rowOff>
    </xdr:to>
    <xdr:sp>
      <xdr:nvSpPr>
        <xdr:cNvPr id="11499" name="Line 2"/>
        <xdr:cNvSpPr>
          <a:spLocks noChangeShapeType="1"/>
        </xdr:cNvSpPr>
      </xdr:nvSpPr>
      <xdr:spPr bwMode="auto">
        <a:xfrm flipH="1">
          <a:off x="8407399" y="2041524"/>
          <a:ext cx="0" cy="349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13</xdr:col>
      <xdr:colOff>0</xdr:colOff>
      <xdr:row>11</xdr:row>
      <xdr:rowOff>0</xdr:rowOff>
    </xdr:from>
    <xdr:to>
      <xdr:col>14</xdr:col>
      <xdr:colOff>0</xdr:colOff>
      <xdr:row>12</xdr:row>
      <xdr:rowOff>180974</xdr:rowOff>
    </xdr:to>
    <xdr:sp>
      <xdr:nvSpPr>
        <xdr:cNvPr id="13545" name="Line 1"/>
        <xdr:cNvSpPr>
          <a:spLocks noChangeShapeType="1"/>
        </xdr:cNvSpPr>
      </xdr:nvSpPr>
      <xdr:spPr bwMode="auto">
        <a:xfrm>
          <a:off x="8464549" y="2012949"/>
          <a:ext cx="584199" cy="244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28575</xdr:rowOff>
    </xdr:from>
    <xdr:to>
      <xdr:col>13</xdr:col>
      <xdr:colOff>0</xdr:colOff>
      <xdr:row>12</xdr:row>
      <xdr:rowOff>0</xdr:rowOff>
    </xdr:to>
    <xdr:sp>
      <xdr:nvSpPr>
        <xdr:cNvPr id="13546" name="Line 2"/>
        <xdr:cNvSpPr>
          <a:spLocks noChangeShapeType="1"/>
        </xdr:cNvSpPr>
      </xdr:nvSpPr>
      <xdr:spPr bwMode="auto">
        <a:xfrm flipH="1">
          <a:off x="8464549" y="2041524"/>
          <a:ext cx="0" cy="349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0</xdr:rowOff>
    </xdr:from>
    <xdr:to>
      <xdr:col>14</xdr:col>
      <xdr:colOff>0</xdr:colOff>
      <xdr:row>12</xdr:row>
      <xdr:rowOff>180974</xdr:rowOff>
    </xdr:to>
    <xdr:sp>
      <xdr:nvSpPr>
        <xdr:cNvPr id="13547" name="Line 1"/>
        <xdr:cNvSpPr>
          <a:spLocks noChangeShapeType="1"/>
        </xdr:cNvSpPr>
      </xdr:nvSpPr>
      <xdr:spPr bwMode="auto">
        <a:xfrm>
          <a:off x="8464549" y="2012949"/>
          <a:ext cx="584199" cy="244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0</xdr:colOff>
      <xdr:row>11</xdr:row>
      <xdr:rowOff>28575</xdr:rowOff>
    </xdr:from>
    <xdr:to>
      <xdr:col>13</xdr:col>
      <xdr:colOff>0</xdr:colOff>
      <xdr:row>12</xdr:row>
      <xdr:rowOff>0</xdr:rowOff>
    </xdr:to>
    <xdr:sp>
      <xdr:nvSpPr>
        <xdr:cNvPr id="13548" name="Line 2"/>
        <xdr:cNvSpPr>
          <a:spLocks noChangeShapeType="1"/>
        </xdr:cNvSpPr>
      </xdr:nvSpPr>
      <xdr:spPr bwMode="auto">
        <a:xfrm flipH="1">
          <a:off x="8464549" y="2041524"/>
          <a:ext cx="0" cy="349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Bulletins\Agroclimatologie%20CI\Normjours~d&#233;cadaires.xls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Bulletins\Agroclimatologie%20CI\Norm%20dejours~d&#233;cadai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bokro"/>
      <sheetName val="Yamoussoukro"/>
      <sheetName val="San-Pedro"/>
      <sheetName val="Korhogo "/>
      <sheetName val="Bouaké-aéro1"/>
      <sheetName val="Daloa"/>
      <sheetName val="Niakara"/>
      <sheetName val="Adiake"/>
      <sheetName val="kouto"/>
      <sheetName val="Makono"/>
      <sheetName val="Madinani"/>
      <sheetName val="Aboisso"/>
      <sheetName val="Bondoukou"/>
      <sheetName val="Man"/>
      <sheetName val="Sassandra"/>
      <sheetName val="Odienné"/>
      <sheetName val="Gagnoa"/>
      <sheetName val="Abengourou"/>
      <sheetName val="Tabou"/>
      <sheetName val="Abidjan"/>
    </sheetNames>
    <sheetDataSet>
      <sheetData sheetId="0">
        <row r="202">
          <cell r="O202">
            <v>18.2</v>
          </cell>
          <cell r="AC202">
            <v>72.599999999999994</v>
          </cell>
          <cell r="AR202">
            <v>189.8</v>
          </cell>
        </row>
        <row r="203">
          <cell r="O203">
            <v>121.5</v>
          </cell>
          <cell r="AC203">
            <v>74.399999999999991</v>
          </cell>
          <cell r="AR203">
            <v>5</v>
          </cell>
        </row>
        <row r="204">
          <cell r="O204">
            <v>48.1</v>
          </cell>
          <cell r="AC204">
            <v>57.000000000000007</v>
          </cell>
          <cell r="AR204">
            <v>56.900000000000006</v>
          </cell>
        </row>
        <row r="205">
          <cell r="O205">
            <v>25.900000000000002</v>
          </cell>
          <cell r="AC205">
            <v>4.0999999999999996</v>
          </cell>
          <cell r="AR205">
            <v>57.699999999999989</v>
          </cell>
        </row>
        <row r="206">
          <cell r="O206">
            <v>39.200000000000003</v>
          </cell>
          <cell r="AC206">
            <v>44.099999999999994</v>
          </cell>
          <cell r="AR206">
            <v>0.4</v>
          </cell>
        </row>
        <row r="207">
          <cell r="O207">
            <v>21.5</v>
          </cell>
          <cell r="AC207">
            <v>57.3</v>
          </cell>
          <cell r="AR207">
            <v>81.100000000000009</v>
          </cell>
        </row>
        <row r="208">
          <cell r="O208">
            <v>37.700000000000003</v>
          </cell>
          <cell r="AC208">
            <v>1</v>
          </cell>
          <cell r="AR208">
            <v>76.599999999999994</v>
          </cell>
        </row>
        <row r="209">
          <cell r="O209">
            <v>65.400000000000006</v>
          </cell>
          <cell r="AC209">
            <v>110.8</v>
          </cell>
          <cell r="AR209">
            <v>106.30000000000001</v>
          </cell>
        </row>
        <row r="210">
          <cell r="O210">
            <v>11.3</v>
          </cell>
          <cell r="AC210">
            <v>29.6</v>
          </cell>
          <cell r="AR210">
            <v>0.6</v>
          </cell>
        </row>
        <row r="211">
          <cell r="O211">
            <v>16.3</v>
          </cell>
          <cell r="AC211">
            <v>0.8</v>
          </cell>
          <cell r="AR211">
            <v>37</v>
          </cell>
        </row>
        <row r="212">
          <cell r="O212">
            <v>23.8</v>
          </cell>
          <cell r="AC212">
            <v>25.5</v>
          </cell>
          <cell r="AR212">
            <v>11.4</v>
          </cell>
        </row>
        <row r="213">
          <cell r="O213">
            <v>1.5</v>
          </cell>
          <cell r="AC213">
            <v>59.400000000000006</v>
          </cell>
          <cell r="AR213">
            <v>0.60000000000000009</v>
          </cell>
        </row>
        <row r="214">
          <cell r="O214">
            <v>61</v>
          </cell>
          <cell r="AC214">
            <v>2.4</v>
          </cell>
          <cell r="AR214">
            <v>41.2</v>
          </cell>
        </row>
        <row r="215">
          <cell r="O215">
            <v>26.2</v>
          </cell>
          <cell r="AC215">
            <v>62.8</v>
          </cell>
          <cell r="AR215">
            <v>34.1</v>
          </cell>
        </row>
        <row r="216">
          <cell r="O216">
            <v>134.80000000000001</v>
          </cell>
          <cell r="AC216">
            <v>45.399999999999991</v>
          </cell>
          <cell r="AR216">
            <v>9.1</v>
          </cell>
        </row>
        <row r="217">
          <cell r="O217">
            <v>9.3999999999999986</v>
          </cell>
          <cell r="AC217">
            <v>50.5</v>
          </cell>
          <cell r="AR217">
            <v>1.9</v>
          </cell>
        </row>
        <row r="218">
          <cell r="O218">
            <v>22.9</v>
          </cell>
          <cell r="AC218">
            <v>25.400000000000002</v>
          </cell>
          <cell r="AR218">
            <v>10.8</v>
          </cell>
        </row>
        <row r="219">
          <cell r="O219">
            <v>12.4</v>
          </cell>
          <cell r="AC219">
            <v>5.0999999999999996</v>
          </cell>
          <cell r="AR219">
            <v>6.1</v>
          </cell>
        </row>
        <row r="220">
          <cell r="O220">
            <v>2.2999999999999998</v>
          </cell>
          <cell r="AC220">
            <v>90.999999999999986</v>
          </cell>
          <cell r="AR220">
            <v>74</v>
          </cell>
        </row>
        <row r="221">
          <cell r="O221">
            <v>0.7</v>
          </cell>
          <cell r="AC221">
            <v>0.1</v>
          </cell>
          <cell r="AR221">
            <v>123.60000000000001</v>
          </cell>
        </row>
        <row r="222">
          <cell r="O222">
            <v>106.1</v>
          </cell>
          <cell r="AC222">
            <v>5.7</v>
          </cell>
          <cell r="AR222">
            <v>35.9</v>
          </cell>
        </row>
        <row r="223">
          <cell r="O223">
            <v>10.5</v>
          </cell>
          <cell r="AC223">
            <v>21.400000000000002</v>
          </cell>
          <cell r="AR223">
            <v>1.8</v>
          </cell>
        </row>
        <row r="224">
          <cell r="O224">
            <v>0</v>
          </cell>
          <cell r="AC224">
            <v>4.2</v>
          </cell>
          <cell r="AR224">
            <v>0.2</v>
          </cell>
        </row>
        <row r="225">
          <cell r="O225">
            <v>19.8</v>
          </cell>
          <cell r="AC225">
            <v>48.7</v>
          </cell>
          <cell r="AR225">
            <v>59.599999999999994</v>
          </cell>
        </row>
        <row r="226">
          <cell r="O226">
            <v>27.300000000000004</v>
          </cell>
          <cell r="AC226">
            <v>9.4</v>
          </cell>
          <cell r="AR226">
            <v>90.300000000000011</v>
          </cell>
        </row>
        <row r="227">
          <cell r="O227">
            <v>11.1</v>
          </cell>
          <cell r="AC227">
            <v>21.3</v>
          </cell>
          <cell r="AR227">
            <v>29.400000000000006</v>
          </cell>
        </row>
        <row r="228">
          <cell r="O228">
            <v>12</v>
          </cell>
          <cell r="AC228">
            <v>5.0999999999999996</v>
          </cell>
          <cell r="AR228">
            <v>33.699999999999996</v>
          </cell>
        </row>
        <row r="229">
          <cell r="O229">
            <v>60</v>
          </cell>
          <cell r="AC229">
            <v>29.4</v>
          </cell>
          <cell r="AR229">
            <v>21.5</v>
          </cell>
        </row>
        <row r="230">
          <cell r="O230">
            <v>40.5</v>
          </cell>
          <cell r="AC230">
            <v>101.99999999999999</v>
          </cell>
          <cell r="AR230">
            <v>27.400000000000002</v>
          </cell>
        </row>
        <row r="231">
          <cell r="O231">
            <v>9.3999999999999986</v>
          </cell>
          <cell r="AC231">
            <v>1.2</v>
          </cell>
          <cell r="AR231">
            <v>0.30000000000000004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bokro"/>
      <sheetName val="Yamoussoukro"/>
      <sheetName val="San-Pedro"/>
      <sheetName val="Bouaké-aéro1"/>
      <sheetName val="Daloa"/>
      <sheetName val="Korhogo"/>
      <sheetName val="Niakara"/>
      <sheetName val="Adiake"/>
      <sheetName val="kouto"/>
      <sheetName val="Makono"/>
      <sheetName val="Madinani"/>
      <sheetName val="Aboisso"/>
      <sheetName val="Bondoukou"/>
      <sheetName val="Man"/>
      <sheetName val="Sassandra"/>
      <sheetName val="Odienné"/>
      <sheetName val="Gagnoa"/>
      <sheetName val="Abengourou"/>
      <sheetName val="Tabou"/>
      <sheetName val="Abidjan"/>
    </sheetNames>
    <sheetDataSet>
      <sheetData sheetId="0">
        <row r="202">
          <cell r="O202">
            <v>18.2</v>
          </cell>
          <cell r="AC202">
            <v>72.599999999999994</v>
          </cell>
          <cell r="AR202">
            <v>189.8</v>
          </cell>
        </row>
        <row r="203">
          <cell r="O203">
            <v>121.5</v>
          </cell>
          <cell r="AC203">
            <v>74.399999999999991</v>
          </cell>
          <cell r="AR203">
            <v>5</v>
          </cell>
        </row>
        <row r="204">
          <cell r="O204">
            <v>48.1</v>
          </cell>
          <cell r="AC204">
            <v>57.000000000000007</v>
          </cell>
          <cell r="AR204">
            <v>56.900000000000006</v>
          </cell>
        </row>
        <row r="205">
          <cell r="O205">
            <v>25.900000000000002</v>
          </cell>
          <cell r="AC205">
            <v>4.0999999999999996</v>
          </cell>
          <cell r="AR205">
            <v>57.699999999999989</v>
          </cell>
        </row>
        <row r="206">
          <cell r="O206">
            <v>39.200000000000003</v>
          </cell>
          <cell r="AC206">
            <v>44.099999999999994</v>
          </cell>
          <cell r="AR206">
            <v>0.4</v>
          </cell>
        </row>
        <row r="207">
          <cell r="O207">
            <v>21.5</v>
          </cell>
          <cell r="AC207">
            <v>57.3</v>
          </cell>
          <cell r="AR207">
            <v>81.100000000000009</v>
          </cell>
        </row>
        <row r="208">
          <cell r="O208">
            <v>37.700000000000003</v>
          </cell>
          <cell r="AC208">
            <v>1</v>
          </cell>
          <cell r="AR208">
            <v>76.599999999999994</v>
          </cell>
        </row>
        <row r="209">
          <cell r="O209">
            <v>65.400000000000006</v>
          </cell>
          <cell r="AC209">
            <v>110.8</v>
          </cell>
          <cell r="AR209">
            <v>106.30000000000001</v>
          </cell>
        </row>
        <row r="210">
          <cell r="O210">
            <v>11.3</v>
          </cell>
          <cell r="AC210">
            <v>29.6</v>
          </cell>
          <cell r="AR210">
            <v>0.6</v>
          </cell>
        </row>
        <row r="211">
          <cell r="O211">
            <v>16.3</v>
          </cell>
          <cell r="AC211">
            <v>0.8</v>
          </cell>
          <cell r="AR211">
            <v>37</v>
          </cell>
        </row>
        <row r="212">
          <cell r="O212">
            <v>23.8</v>
          </cell>
          <cell r="AC212">
            <v>25.5</v>
          </cell>
          <cell r="AR212">
            <v>11.4</v>
          </cell>
        </row>
        <row r="213">
          <cell r="O213">
            <v>1.5</v>
          </cell>
          <cell r="AC213">
            <v>59.400000000000006</v>
          </cell>
          <cell r="AR213">
            <v>0.60000000000000009</v>
          </cell>
        </row>
        <row r="214">
          <cell r="O214">
            <v>61</v>
          </cell>
          <cell r="AC214">
            <v>2.4</v>
          </cell>
          <cell r="AR214">
            <v>41.2</v>
          </cell>
        </row>
        <row r="215">
          <cell r="O215">
            <v>26.2</v>
          </cell>
          <cell r="AC215">
            <v>62.8</v>
          </cell>
          <cell r="AR215">
            <v>34.1</v>
          </cell>
        </row>
        <row r="216">
          <cell r="O216">
            <v>134.80000000000001</v>
          </cell>
          <cell r="AC216">
            <v>45.399999999999991</v>
          </cell>
          <cell r="AR216">
            <v>9.1</v>
          </cell>
        </row>
        <row r="217">
          <cell r="O217">
            <v>9.3999999999999986</v>
          </cell>
          <cell r="AC217">
            <v>50.5</v>
          </cell>
          <cell r="AR217">
            <v>1.9</v>
          </cell>
        </row>
        <row r="218">
          <cell r="O218">
            <v>22.9</v>
          </cell>
          <cell r="AC218">
            <v>25.400000000000002</v>
          </cell>
          <cell r="AR218">
            <v>10.8</v>
          </cell>
        </row>
        <row r="219">
          <cell r="O219">
            <v>12.4</v>
          </cell>
          <cell r="AC219">
            <v>5.0999999999999996</v>
          </cell>
          <cell r="AR219">
            <v>6.1</v>
          </cell>
        </row>
        <row r="220">
          <cell r="O220">
            <v>2.2999999999999998</v>
          </cell>
          <cell r="AC220">
            <v>90.999999999999986</v>
          </cell>
          <cell r="AR220">
            <v>74</v>
          </cell>
        </row>
        <row r="221">
          <cell r="O221">
            <v>0.7</v>
          </cell>
          <cell r="AC221">
            <v>0.1</v>
          </cell>
          <cell r="AR221">
            <v>123.60000000000001</v>
          </cell>
        </row>
        <row r="222">
          <cell r="O222">
            <v>106.1</v>
          </cell>
          <cell r="AC222">
            <v>5.7</v>
          </cell>
          <cell r="AR222">
            <v>35.9</v>
          </cell>
        </row>
        <row r="223">
          <cell r="O223">
            <v>10.5</v>
          </cell>
          <cell r="AC223">
            <v>21.400000000000002</v>
          </cell>
          <cell r="AR223">
            <v>1.8</v>
          </cell>
        </row>
        <row r="224">
          <cell r="O224">
            <v>0</v>
          </cell>
          <cell r="AC224">
            <v>4.2</v>
          </cell>
          <cell r="AR224">
            <v>0.2</v>
          </cell>
        </row>
        <row r="225">
          <cell r="O225">
            <v>19.8</v>
          </cell>
          <cell r="AC225">
            <v>48.7</v>
          </cell>
          <cell r="AR225">
            <v>59.599999999999994</v>
          </cell>
        </row>
        <row r="226">
          <cell r="O226">
            <v>27.300000000000004</v>
          </cell>
          <cell r="AC226">
            <v>9.4</v>
          </cell>
          <cell r="AR226">
            <v>90.300000000000011</v>
          </cell>
        </row>
        <row r="227">
          <cell r="O227">
            <v>11.1</v>
          </cell>
          <cell r="AC227">
            <v>21.3</v>
          </cell>
          <cell r="AR227">
            <v>29.400000000000006</v>
          </cell>
        </row>
        <row r="228">
          <cell r="O228">
            <v>12</v>
          </cell>
          <cell r="AC228">
            <v>5.0999999999999996</v>
          </cell>
          <cell r="AR228">
            <v>33.699999999999996</v>
          </cell>
        </row>
        <row r="229">
          <cell r="O229">
            <v>60</v>
          </cell>
          <cell r="AC229">
            <v>29.4</v>
          </cell>
          <cell r="AR229">
            <v>21.5</v>
          </cell>
        </row>
        <row r="230">
          <cell r="O230">
            <v>40.5</v>
          </cell>
          <cell r="AC230">
            <v>101.99999999999999</v>
          </cell>
          <cell r="AR230">
            <v>27.400000000000002</v>
          </cell>
        </row>
        <row r="231">
          <cell r="O231">
            <v>9.3999999999999986</v>
          </cell>
          <cell r="AC231">
            <v>1.2</v>
          </cell>
          <cell r="AR231">
            <v>0.30000000000000004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euil2">
    <tabColor rgb="FFC00000"/>
    <outlinePr applyStyles="0" summaryBelow="1" summaryRight="1" showOutlineSymbols="1"/>
    <pageSetUpPr autoPageBreaks="1" fitToPage="0"/>
  </sheetPr>
  <sheetViews>
    <sheetView showGridLines="0" topLeftCell="A8" zoomScale="100" workbookViewId="0">
      <selection activeCell="N9" activeCellId="0" sqref="N9"/>
    </sheetView>
  </sheetViews>
  <sheetFormatPr baseColWidth="10" defaultRowHeight="12.75"/>
  <cols>
    <col bestFit="1" customWidth="1" min="1" max="1" width="23.7265625"/>
    <col customWidth="1" min="2" max="2" width="8.453125"/>
    <col customWidth="1" min="3" max="3" width="8.1796875"/>
    <col customWidth="1" min="4" max="4" width="7.7265625"/>
    <col customWidth="1" min="5" max="5" width="8"/>
    <col customWidth="1" min="6" max="6" width="7.7265625"/>
    <col customWidth="1" min="7" max="8" width="8.7265625"/>
    <col customWidth="1" min="9" max="9" width="8.1796875"/>
    <col customWidth="1" min="10" max="10" width="9.1796875"/>
    <col customWidth="1" min="11" max="13" width="8.7265625"/>
    <col customWidth="1" min="14" max="14" width="10"/>
  </cols>
  <sheetData>
    <row r="2" ht="16.5">
      <c r="D2" s="1" t="s">
        <v>0</v>
      </c>
      <c r="E2" s="1"/>
      <c r="F2" s="1"/>
      <c r="G2" s="1"/>
      <c r="H2" s="1"/>
      <c r="I2" s="1"/>
      <c r="J2" s="1"/>
      <c r="K2" s="1"/>
    </row>
    <row r="3" ht="15">
      <c r="D3" s="2" t="s">
        <v>1</v>
      </c>
      <c r="E3" s="2"/>
      <c r="F3" s="2"/>
      <c r="G3" s="2"/>
      <c r="H3" s="2"/>
      <c r="I3" s="2"/>
      <c r="J3" s="2"/>
    </row>
    <row r="4" ht="9.75" customHeight="1"/>
    <row r="5" ht="27.75" customHeight="1">
      <c r="A5" s="3" t="s">
        <v>2</v>
      </c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6" t="s">
        <v>15</v>
      </c>
    </row>
    <row r="6" ht="13" customHeight="1">
      <c r="A6" s="7" t="s">
        <v>16</v>
      </c>
      <c r="B6" s="8">
        <v>26.762051497296994</v>
      </c>
      <c r="C6" s="9">
        <v>29.22017531593341</v>
      </c>
      <c r="D6" s="9">
        <v>29.98069295864294</v>
      </c>
      <c r="E6" s="9">
        <v>29.198572772988506</v>
      </c>
      <c r="F6" s="9">
        <v>28.021094102534565</v>
      </c>
      <c r="G6" s="9">
        <v>26.450069245977012</v>
      </c>
      <c r="H6" s="9">
        <v>25.444155824278823</v>
      </c>
      <c r="I6" s="9">
        <v>25.021520197541715</v>
      </c>
      <c r="J6" s="9">
        <v>25.373114787126429</v>
      </c>
      <c r="K6" s="9">
        <v>26.397428703670744</v>
      </c>
      <c r="L6" s="9">
        <v>27.205413317931036</v>
      </c>
      <c r="M6" s="9">
        <v>26.64865382556173</v>
      </c>
      <c r="N6" s="10">
        <f t="shared" ref="N6:N11" si="0">AVERAGE(B6:M6)</f>
        <v>27.14357854579033</v>
      </c>
    </row>
    <row r="7" ht="13" customHeight="1">
      <c r="A7" s="11" t="s">
        <v>17</v>
      </c>
      <c r="B7" s="12">
        <v>34.191759530791785</v>
      </c>
      <c r="C7" s="13">
        <v>36.358119122257058</v>
      </c>
      <c r="D7" s="13">
        <v>36.460322580645162</v>
      </c>
      <c r="E7" s="13">
        <v>34.298484848484854</v>
      </c>
      <c r="F7" s="13">
        <v>33.299061583577711</v>
      </c>
      <c r="G7" s="13">
        <v>31.401212121212122</v>
      </c>
      <c r="H7" s="13">
        <v>29.900997067448682</v>
      </c>
      <c r="I7" s="13">
        <v>29.451231671554254</v>
      </c>
      <c r="J7" s="13">
        <v>30.256363636363634</v>
      </c>
      <c r="K7" s="13">
        <v>31.699794721407624</v>
      </c>
      <c r="L7" s="13">
        <v>33.889696969696963</v>
      </c>
      <c r="M7" s="13">
        <v>33.829413489736069</v>
      </c>
      <c r="N7" s="10">
        <f t="shared" si="0"/>
        <v>32.919704778597989</v>
      </c>
    </row>
    <row r="8" ht="13" customHeight="1">
      <c r="A8" s="11" t="s">
        <v>18</v>
      </c>
      <c r="B8" s="12">
        <v>18.840410557184754</v>
      </c>
      <c r="C8" s="13">
        <v>20.910783699059561</v>
      </c>
      <c r="D8" s="13">
        <v>22.919178885630497</v>
      </c>
      <c r="E8" s="13">
        <v>23.375454545454545</v>
      </c>
      <c r="F8" s="13">
        <v>22.730997067448683</v>
      </c>
      <c r="G8" s="13">
        <v>21.742121212121216</v>
      </c>
      <c r="H8" s="13">
        <v>21.304252199413487</v>
      </c>
      <c r="I8" s="13">
        <v>21.202815249266866</v>
      </c>
      <c r="J8" s="13">
        <v>21.018484848484846</v>
      </c>
      <c r="K8" s="13">
        <v>20.989882697947213</v>
      </c>
      <c r="L8" s="13">
        <v>20.396363636363635</v>
      </c>
      <c r="M8" s="13">
        <v>18.819912023460411</v>
      </c>
      <c r="N8" s="10">
        <f t="shared" si="0"/>
        <v>21.187554718486314</v>
      </c>
    </row>
    <row r="9" ht="13" customHeight="1">
      <c r="A9" s="11" t="s">
        <v>19</v>
      </c>
      <c r="B9" s="14">
        <v>34.094117647058816</v>
      </c>
      <c r="C9" s="15">
        <v>36.829411764705874</v>
      </c>
      <c r="D9" s="15">
        <v>51.511764705882356</v>
      </c>
      <c r="E9" s="15">
        <v>64.235294117647058</v>
      </c>
      <c r="F9" s="15">
        <v>71</v>
      </c>
      <c r="G9" s="15">
        <v>76.770588235294113</v>
      </c>
      <c r="H9" s="15">
        <v>78.370588235294122</v>
      </c>
      <c r="I9" s="15">
        <v>80.10588235294118</v>
      </c>
      <c r="J9" s="15">
        <v>79.306249999999991</v>
      </c>
      <c r="K9" s="15">
        <v>73.476470588235287</v>
      </c>
      <c r="L9" s="15">
        <v>60.817647058823525</v>
      </c>
      <c r="M9" s="15">
        <v>44.288235294117648</v>
      </c>
      <c r="N9" s="10">
        <f t="shared" si="0"/>
        <v>62.567187499999989</v>
      </c>
    </row>
    <row r="10" ht="13" customHeight="1">
      <c r="A10" s="11" t="s">
        <v>20</v>
      </c>
      <c r="B10" s="14">
        <v>51.814285714285724</v>
      </c>
      <c r="C10" s="15">
        <v>52.428571428571423</v>
      </c>
      <c r="D10" s="15">
        <v>74.66153846153847</v>
      </c>
      <c r="E10" s="15">
        <v>87.028571428571439</v>
      </c>
      <c r="F10" s="15">
        <v>91.492857142857133</v>
      </c>
      <c r="G10" s="15">
        <v>95.771428571428586</v>
      </c>
      <c r="H10" s="15">
        <v>96.614285714285728</v>
      </c>
      <c r="I10" s="15">
        <v>97.464285714285708</v>
      </c>
      <c r="J10" s="15">
        <v>97.674999999999997</v>
      </c>
      <c r="K10" s="15">
        <v>96.276923076923083</v>
      </c>
      <c r="L10" s="15">
        <v>89.284615384615392</v>
      </c>
      <c r="M10" s="15">
        <v>68.192307692307708</v>
      </c>
      <c r="N10" s="10">
        <f t="shared" si="0"/>
        <v>83.225389194139197</v>
      </c>
    </row>
    <row r="11" ht="13" customHeight="1">
      <c r="A11" s="11" t="s">
        <v>21</v>
      </c>
      <c r="B11" s="14">
        <v>18.292857142857144</v>
      </c>
      <c r="C11" s="15">
        <v>19.442857142857143</v>
      </c>
      <c r="D11" s="15">
        <v>29.053846153846152</v>
      </c>
      <c r="E11" s="15">
        <v>42.557142857142857</v>
      </c>
      <c r="F11" s="15">
        <v>49.207142857142856</v>
      </c>
      <c r="G11" s="15">
        <v>59.685714285714269</v>
      </c>
      <c r="H11" s="15">
        <v>61.242857142857147</v>
      </c>
      <c r="I11" s="15">
        <v>64.207142857142856</v>
      </c>
      <c r="J11" s="15">
        <v>60.266666666666659</v>
      </c>
      <c r="K11" s="15">
        <v>51.384615384615387</v>
      </c>
      <c r="L11" s="15">
        <v>34.53846153846154</v>
      </c>
      <c r="M11" s="15">
        <v>23.469230769230769</v>
      </c>
      <c r="N11" s="10">
        <f t="shared" si="0"/>
        <v>42.779044566544563</v>
      </c>
    </row>
    <row r="12" ht="5.25" customHeight="1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ht="24" customHeight="1">
      <c r="A13" s="17" t="s">
        <v>2</v>
      </c>
      <c r="B13" s="18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G13" s="5" t="s">
        <v>8</v>
      </c>
      <c r="H13" s="5" t="s">
        <v>9</v>
      </c>
      <c r="I13" s="5" t="s">
        <v>10</v>
      </c>
      <c r="J13" s="5" t="s">
        <v>11</v>
      </c>
      <c r="K13" s="5" t="s">
        <v>12</v>
      </c>
      <c r="L13" s="5" t="s">
        <v>13</v>
      </c>
      <c r="M13" s="5" t="s">
        <v>14</v>
      </c>
      <c r="N13" s="6" t="s">
        <v>22</v>
      </c>
    </row>
    <row r="14" ht="13" customHeight="1">
      <c r="A14" s="19" t="s">
        <v>23</v>
      </c>
      <c r="B14" s="12">
        <v>6.6717669794400019</v>
      </c>
      <c r="C14" s="13">
        <v>17.030834122453335</v>
      </c>
      <c r="D14" s="13">
        <v>40.107068326733334</v>
      </c>
      <c r="E14" s="13">
        <v>88.655178459166649</v>
      </c>
      <c r="F14" s="13">
        <v>121.639576297</v>
      </c>
      <c r="G14" s="13">
        <v>143.92812968576663</v>
      </c>
      <c r="H14" s="13">
        <v>187.5972964653333</v>
      </c>
      <c r="I14" s="13">
        <v>235.98168229066667</v>
      </c>
      <c r="J14" s="13">
        <v>228.25504225299997</v>
      </c>
      <c r="K14" s="13">
        <v>114.46806815003332</v>
      </c>
      <c r="L14" s="13">
        <v>18.821396150500004</v>
      </c>
      <c r="M14" s="13">
        <v>3.7666634583500005</v>
      </c>
      <c r="N14" s="10">
        <f t="shared" ref="N14:N15" si="1">SUM(B14:M14)</f>
        <v>1206.9227026384433</v>
      </c>
    </row>
    <row r="15" ht="13" customHeight="1">
      <c r="A15" s="19" t="s">
        <v>24</v>
      </c>
      <c r="B15" s="20">
        <v>0.66666666666666663</v>
      </c>
      <c r="C15" s="21">
        <v>1.7333333333333334</v>
      </c>
      <c r="D15" s="21">
        <v>5.2666666666666666</v>
      </c>
      <c r="E15" s="21">
        <v>9.5333333333333332</v>
      </c>
      <c r="F15" s="21">
        <v>11</v>
      </c>
      <c r="G15" s="21">
        <v>10.966666666666667</v>
      </c>
      <c r="H15" s="21">
        <v>13</v>
      </c>
      <c r="I15" s="21">
        <v>15.9</v>
      </c>
      <c r="J15" s="21">
        <v>16.600000000000001</v>
      </c>
      <c r="K15" s="21">
        <v>12.300000000000001</v>
      </c>
      <c r="L15" s="21">
        <v>3.2333333333333334</v>
      </c>
      <c r="M15" s="21">
        <v>0.5</v>
      </c>
      <c r="N15" s="10">
        <f t="shared" si="1"/>
        <v>100.69999999999999</v>
      </c>
    </row>
  </sheetData>
  <mergeCells count="2">
    <mergeCell ref="D2:K2"/>
    <mergeCell ref="D3:J3"/>
  </mergeCells>
  <printOptions headings="0" gridLines="0"/>
  <pageMargins left="1.0236220472440944" right="0.31496062992125984" top="0.78740157480314954" bottom="0.39370078740157477" header="0.51181102362204722" footer="0.19685039370078738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&amp;L&amp;"Comic Sans MS,Gras"&amp;11SODEXAM
Direction de la Météorologie Nationale</oddHeader>
    <oddFooter>&amp;C&amp;7SODEXAM / DMN / DCAM / Service Climatologie ; 15 BP 990 Abidjan 15 ; tél : 27 21 58 20 01 ; Fax : 27 21 27 73 44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euil6">
    <tabColor rgb="FFFFC000"/>
    <outlinePr applyStyles="0" summaryBelow="1" summaryRight="1" showOutlineSymbols="1"/>
    <pageSetUpPr autoPageBreaks="1" fitToPage="0"/>
  </sheetPr>
  <sheetViews>
    <sheetView showGridLines="0" topLeftCell="A4" zoomScale="100" workbookViewId="0">
      <selection activeCell="B26" activeCellId="0" sqref="B26:N27"/>
    </sheetView>
  </sheetViews>
  <sheetFormatPr baseColWidth="10" defaultRowHeight="12.75"/>
  <cols>
    <col bestFit="1" customWidth="1" min="1" max="1" width="23.7265625"/>
    <col customWidth="1" min="2" max="2" width="8.453125"/>
    <col customWidth="1" min="3" max="3" width="8.1796875"/>
    <col customWidth="1" min="4" max="4" width="8.26953125"/>
    <col customWidth="1" min="5" max="5" width="8.7265625"/>
    <col customWidth="1" min="6" max="7" width="8.1796875"/>
    <col customWidth="1" min="8" max="8" width="8.7265625"/>
    <col customWidth="1" min="9" max="9" width="8.26953125"/>
    <col customWidth="1" min="10" max="10" width="9.453125"/>
    <col customWidth="1" min="11" max="14" width="8.7265625"/>
  </cols>
  <sheetData>
    <row r="1" ht="10.5" customHeight="1"/>
    <row r="2" ht="16.5">
      <c r="D2" s="1" t="s">
        <v>25</v>
      </c>
      <c r="E2" s="1"/>
      <c r="F2" s="1"/>
      <c r="G2" s="1"/>
      <c r="H2" s="1"/>
      <c r="I2" s="1"/>
      <c r="J2" s="1"/>
      <c r="K2" s="1"/>
    </row>
    <row r="3" ht="15">
      <c r="D3" s="2" t="s">
        <v>1</v>
      </c>
      <c r="E3" s="2"/>
      <c r="F3" s="2"/>
      <c r="G3" s="2"/>
      <c r="H3" s="2"/>
      <c r="I3" s="2"/>
      <c r="J3" s="2"/>
    </row>
    <row r="4" ht="13"/>
    <row r="5" ht="24.75" customHeight="1">
      <c r="A5" s="3" t="s">
        <v>2</v>
      </c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6" t="s">
        <v>15</v>
      </c>
    </row>
    <row r="6" ht="13" customHeight="1">
      <c r="A6" s="7" t="s">
        <v>16</v>
      </c>
      <c r="B6" s="8">
        <v>26.849537634408605</v>
      </c>
      <c r="C6" s="9">
        <v>28.62893185550082</v>
      </c>
      <c r="D6" s="9">
        <v>28.62840860215054</v>
      </c>
      <c r="E6" s="9">
        <v>27.868111111111105</v>
      </c>
      <c r="F6" s="9">
        <v>27.016731182795699</v>
      </c>
      <c r="G6" s="9">
        <v>25.681444444444448</v>
      </c>
      <c r="H6" s="9">
        <v>24.620397849462371</v>
      </c>
      <c r="I6" s="9">
        <v>24.224698924731182</v>
      </c>
      <c r="J6" s="9">
        <v>24.741091954022988</v>
      </c>
      <c r="K6" s="9">
        <v>25.640612903225819</v>
      </c>
      <c r="L6" s="9">
        <v>26.439222222222224</v>
      </c>
      <c r="M6" s="9">
        <v>26.144896313364058</v>
      </c>
      <c r="N6" s="10">
        <f t="shared" ref="N6:N11" si="2">AVERAGE(B6:M6)</f>
        <v>26.373673749786651</v>
      </c>
    </row>
    <row r="7" ht="13" customHeight="1">
      <c r="A7" s="11" t="s">
        <v>17</v>
      </c>
      <c r="B7" s="12">
        <v>34.588399503722094</v>
      </c>
      <c r="C7" s="13">
        <v>35.914177718832889</v>
      </c>
      <c r="D7" s="13">
        <v>35.344077419354839</v>
      </c>
      <c r="E7" s="13">
        <v>33.520000000000003</v>
      </c>
      <c r="F7" s="13">
        <v>32.065303225806453</v>
      </c>
      <c r="G7" s="13">
        <v>30.128133333333331</v>
      </c>
      <c r="H7" s="13">
        <v>28.495483870967742</v>
      </c>
      <c r="I7" s="13">
        <v>27.870322580645162</v>
      </c>
      <c r="J7" s="13">
        <v>29.236666666666665</v>
      </c>
      <c r="K7" s="13">
        <v>31.058245161290323</v>
      </c>
      <c r="L7" s="13">
        <v>32.660266666666672</v>
      </c>
      <c r="M7" s="13">
        <v>33.170694789081878</v>
      </c>
      <c r="N7" s="10">
        <f t="shared" si="2"/>
        <v>32.004314244697341</v>
      </c>
    </row>
    <row r="8" ht="13" customHeight="1">
      <c r="A8" s="11" t="s">
        <v>18</v>
      </c>
      <c r="B8" s="12">
        <v>19.961228287841188</v>
      </c>
      <c r="C8" s="13">
        <v>21.828885941644558</v>
      </c>
      <c r="D8" s="13">
        <v>22.919478908188584</v>
      </c>
      <c r="E8" s="13">
        <v>22.716025641025645</v>
      </c>
      <c r="F8" s="13">
        <v>22.492729528535982</v>
      </c>
      <c r="G8" s="13">
        <v>21.789487179487178</v>
      </c>
      <c r="H8" s="13">
        <v>21.346029776674939</v>
      </c>
      <c r="I8" s="13">
        <v>21.040198511166256</v>
      </c>
      <c r="J8" s="13">
        <v>21.2668</v>
      </c>
      <c r="K8" s="13">
        <v>21.42078163771712</v>
      </c>
      <c r="L8" s="13">
        <v>21.473717948717951</v>
      </c>
      <c r="M8" s="13">
        <v>20.054143920595532</v>
      </c>
      <c r="N8" s="10">
        <f t="shared" si="2"/>
        <v>21.525792273466241</v>
      </c>
    </row>
    <row r="9" ht="13" customHeight="1">
      <c r="A9" s="11" t="s">
        <v>19</v>
      </c>
      <c r="B9" s="12">
        <v>48.953750000000007</v>
      </c>
      <c r="C9" s="13">
        <v>50.595000000000006</v>
      </c>
      <c r="D9" s="13">
        <v>59.821666666666673</v>
      </c>
      <c r="E9" s="13">
        <v>68.691666666666663</v>
      </c>
      <c r="F9" s="13">
        <v>74.049999999999997</v>
      </c>
      <c r="G9" s="13">
        <v>77.601724137931029</v>
      </c>
      <c r="H9" s="13">
        <v>78.183333333333337</v>
      </c>
      <c r="I9" s="13">
        <v>81.051666666666677</v>
      </c>
      <c r="J9" s="13">
        <v>80.473333333333329</v>
      </c>
      <c r="K9" s="13">
        <v>77.186206896551724</v>
      </c>
      <c r="L9" s="13">
        <v>71.694999999999993</v>
      </c>
      <c r="M9" s="13">
        <v>59.708333333333336</v>
      </c>
      <c r="N9" s="10">
        <f t="shared" si="2"/>
        <v>69.000973419540244</v>
      </c>
    </row>
    <row r="10" ht="13" customHeight="1">
      <c r="A10" s="11" t="s">
        <v>20</v>
      </c>
      <c r="B10" s="12">
        <v>69.503846153846155</v>
      </c>
      <c r="C10" s="13">
        <v>75.357692307692318</v>
      </c>
      <c r="D10" s="13">
        <v>86.234615384615381</v>
      </c>
      <c r="E10" s="13">
        <v>90.907692307692315</v>
      </c>
      <c r="F10" s="13">
        <v>92.765384615384619</v>
      </c>
      <c r="G10" s="13">
        <v>93.819230769230757</v>
      </c>
      <c r="H10" s="13">
        <v>94.403846153846175</v>
      </c>
      <c r="I10" s="13">
        <v>94.903846153846132</v>
      </c>
      <c r="J10" s="13">
        <v>95.559999999999988</v>
      </c>
      <c r="K10" s="13">
        <v>94.750000000000028</v>
      </c>
      <c r="L10" s="13">
        <v>93.080000000000013</v>
      </c>
      <c r="M10" s="13">
        <v>82.365384615384627</v>
      </c>
      <c r="N10" s="10">
        <f t="shared" si="2"/>
        <v>88.637628205128223</v>
      </c>
    </row>
    <row r="11" ht="13" customHeight="1">
      <c r="A11" s="11" t="s">
        <v>21</v>
      </c>
      <c r="B11" s="12">
        <v>21.776923076923079</v>
      </c>
      <c r="C11" s="13">
        <v>25.088461538461537</v>
      </c>
      <c r="D11" s="13">
        <v>38.40384615384616</v>
      </c>
      <c r="E11" s="13">
        <v>49.253846153846141</v>
      </c>
      <c r="F11" s="13">
        <v>56.034615384615378</v>
      </c>
      <c r="G11" s="13">
        <v>59.919230769230772</v>
      </c>
      <c r="H11" s="13">
        <v>64.957692307692298</v>
      </c>
      <c r="I11" s="13">
        <v>67.488461538461536</v>
      </c>
      <c r="J11" s="13">
        <v>64.407999999999987</v>
      </c>
      <c r="K11" s="13">
        <v>57.292307692307695</v>
      </c>
      <c r="L11" s="13">
        <v>49.303999999999995</v>
      </c>
      <c r="M11" s="13">
        <v>32.349999999999994</v>
      </c>
      <c r="N11" s="10">
        <f t="shared" si="2"/>
        <v>48.856448717948723</v>
      </c>
    </row>
    <row r="12" ht="5.25" customHeight="1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ht="24" customHeight="1">
      <c r="A13" s="17" t="s">
        <v>2</v>
      </c>
      <c r="B13" s="18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G13" s="5" t="s">
        <v>8</v>
      </c>
      <c r="H13" s="5" t="s">
        <v>9</v>
      </c>
      <c r="I13" s="5" t="s">
        <v>10</v>
      </c>
      <c r="J13" s="5" t="s">
        <v>11</v>
      </c>
      <c r="K13" s="5" t="s">
        <v>12</v>
      </c>
      <c r="L13" s="5" t="s">
        <v>13</v>
      </c>
      <c r="M13" s="5" t="s">
        <v>14</v>
      </c>
      <c r="N13" s="6" t="s">
        <v>22</v>
      </c>
    </row>
    <row r="14" ht="13" customHeight="1">
      <c r="A14" s="19" t="s">
        <v>23</v>
      </c>
      <c r="B14" s="12">
        <v>7.5500000000000007</v>
      </c>
      <c r="C14" s="13">
        <v>26.273333333333333</v>
      </c>
      <c r="D14" s="13">
        <v>70.63666666666667</v>
      </c>
      <c r="E14" s="13">
        <v>131.76333333333335</v>
      </c>
      <c r="F14" s="13">
        <v>143.50666666666666</v>
      </c>
      <c r="G14" s="13">
        <v>134.11000000000001</v>
      </c>
      <c r="H14" s="13">
        <v>95.47999999999999</v>
      </c>
      <c r="I14" s="13">
        <v>80.879999999999981</v>
      </c>
      <c r="J14" s="13">
        <v>159.66333333333336</v>
      </c>
      <c r="K14" s="13">
        <v>124.53666666666668</v>
      </c>
      <c r="L14" s="13">
        <v>33.996666666666663</v>
      </c>
      <c r="M14" s="13">
        <v>8.5500000000000007</v>
      </c>
      <c r="N14" s="10">
        <f t="shared" ref="N14:N15" si="3">SUM(B14:M14)</f>
        <v>1016.9466666666667</v>
      </c>
    </row>
    <row r="15" ht="13" customHeight="1">
      <c r="A15" s="19" t="s">
        <v>24</v>
      </c>
      <c r="B15" s="22">
        <v>0.8666666666666667</v>
      </c>
      <c r="C15" s="23">
        <v>2.2000000000000002</v>
      </c>
      <c r="D15" s="23">
        <v>7.2000000000000002</v>
      </c>
      <c r="E15" s="23">
        <v>9.0333333333333332</v>
      </c>
      <c r="F15" s="23">
        <v>11.1</v>
      </c>
      <c r="G15" s="23">
        <v>12.266666666666667</v>
      </c>
      <c r="H15" s="23">
        <v>9.2333333333333325</v>
      </c>
      <c r="I15" s="23">
        <v>10.033333333333333</v>
      </c>
      <c r="J15" s="23">
        <v>16.133333333333333</v>
      </c>
      <c r="K15" s="23">
        <v>13.466666666666667</v>
      </c>
      <c r="L15" s="23">
        <v>5.0999999999999996</v>
      </c>
      <c r="M15" s="23">
        <v>0.96666666666666667</v>
      </c>
      <c r="N15" s="10">
        <f t="shared" si="3"/>
        <v>97.599999999999994</v>
      </c>
    </row>
  </sheetData>
  <mergeCells count="2">
    <mergeCell ref="D2:K2"/>
    <mergeCell ref="D3:J3"/>
  </mergeCells>
  <printOptions headings="0" gridLines="0"/>
  <pageMargins left="1.04" right="0.31" top="0.78740157480314954" bottom="0.39370078740157477" header="0.51181102362204722" footer="0.21000000000000002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&amp;L&amp;"Comic Sans MS,Gras"&amp;11SODEXAM
Direction de la Météorologie Nationale</oddHeader>
    <oddFooter>&amp;C&amp;7SODEXAM / DMN / DCAM / Svce Climato ; 15 BP 990 Abidjan 15 ; tél : 21 58 20 01 ; Fax : 21 27 73 44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euil12">
    <tabColor indexed="5"/>
    <outlinePr applyStyles="0" summaryBelow="1" summaryRight="1" showOutlineSymbols="1"/>
    <pageSetUpPr autoPageBreaks="1" fitToPage="0"/>
  </sheetPr>
  <sheetViews>
    <sheetView showGridLines="0" topLeftCell="A11" zoomScale="100" workbookViewId="0">
      <selection activeCell="B26" activeCellId="0" sqref="B26:N27"/>
    </sheetView>
  </sheetViews>
  <sheetFormatPr baseColWidth="10" defaultRowHeight="12.75"/>
  <cols>
    <col bestFit="1" customWidth="1" min="1" max="1" width="23.7265625"/>
    <col customWidth="1" min="2" max="2" width="8.1796875"/>
    <col customWidth="1" min="3" max="4" width="7.81640625"/>
    <col customWidth="1" min="5" max="5" width="8.26953125"/>
    <col customWidth="1" min="6" max="6" width="8.1796875"/>
    <col customWidth="1" min="7" max="7" width="8.26953125"/>
    <col customWidth="1" min="8" max="9" width="8.7265625"/>
    <col customWidth="1" min="10" max="10" width="9.453125"/>
    <col customWidth="1" min="11" max="14" width="8.7265625"/>
  </cols>
  <sheetData>
    <row r="2" ht="16.5">
      <c r="D2" s="1" t="s">
        <v>26</v>
      </c>
      <c r="E2" s="1"/>
      <c r="F2" s="1"/>
      <c r="G2" s="1"/>
      <c r="H2" s="1"/>
      <c r="I2" s="1"/>
      <c r="J2" s="1"/>
      <c r="K2" s="1"/>
    </row>
    <row r="3" ht="15">
      <c r="D3" s="2" t="s">
        <v>1</v>
      </c>
      <c r="E3" s="2"/>
      <c r="F3" s="2"/>
      <c r="G3" s="2"/>
      <c r="H3" s="2"/>
      <c r="I3" s="2"/>
      <c r="J3" s="2"/>
    </row>
    <row r="4" ht="13"/>
    <row r="5" ht="24.75" customHeight="1">
      <c r="A5" s="3" t="s">
        <v>2</v>
      </c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6" t="s">
        <v>15</v>
      </c>
    </row>
    <row r="6" ht="13" customHeight="1">
      <c r="A6" s="7" t="s">
        <v>16</v>
      </c>
      <c r="B6" s="8">
        <v>23.675396931958524</v>
      </c>
      <c r="C6" s="9">
        <v>26.009034410837437</v>
      </c>
      <c r="D6" s="9">
        <v>26.545495187615206</v>
      </c>
      <c r="E6" s="9">
        <v>26.413794213095237</v>
      </c>
      <c r="F6" s="9">
        <v>26.163098684792626</v>
      </c>
      <c r="G6" s="9">
        <v>25.127383786904769</v>
      </c>
      <c r="H6" s="9">
        <v>24.273941339446999</v>
      </c>
      <c r="I6" s="9">
        <v>24.178171445828703</v>
      </c>
      <c r="J6" s="9">
        <v>24.845335949999996</v>
      </c>
      <c r="K6" s="9">
        <v>25.110806833014461</v>
      </c>
      <c r="L6" s="9">
        <v>25.249567801149421</v>
      </c>
      <c r="M6" s="9">
        <v>23.946790621268072</v>
      </c>
      <c r="N6" s="10">
        <f t="shared" ref="N6:N11" si="4">AVERAGE(B6:M6)</f>
        <v>25.128234767159285</v>
      </c>
    </row>
    <row r="7" ht="13" customHeight="1">
      <c r="A7" s="11" t="s">
        <v>17</v>
      </c>
      <c r="B7" s="12">
        <v>32.792668621700884</v>
      </c>
      <c r="C7" s="13">
        <v>34.241974921630096</v>
      </c>
      <c r="D7" s="13">
        <v>33.776392961876823</v>
      </c>
      <c r="E7" s="13">
        <v>32.239393939393942</v>
      </c>
      <c r="F7" s="13">
        <v>31.606656891495597</v>
      </c>
      <c r="G7" s="13">
        <v>29.990909090909089</v>
      </c>
      <c r="H7" s="13">
        <v>28.3075366568915</v>
      </c>
      <c r="I7" s="13">
        <v>28.444340175953077</v>
      </c>
      <c r="J7" s="13">
        <v>29.482424242424248</v>
      </c>
      <c r="K7" s="13">
        <v>30.050381231671551</v>
      </c>
      <c r="L7" s="13">
        <v>30.797878787878787</v>
      </c>
      <c r="M7" s="13">
        <v>31.0858357771261</v>
      </c>
      <c r="N7" s="10">
        <f t="shared" si="4"/>
        <v>31.068032774912641</v>
      </c>
    </row>
    <row r="8" ht="13" customHeight="1">
      <c r="A8" s="11" t="s">
        <v>18</v>
      </c>
      <c r="B8" s="12">
        <v>15.950029325513198</v>
      </c>
      <c r="C8" s="13">
        <v>18.065626959247648</v>
      </c>
      <c r="D8" s="13">
        <v>21.05932551319648</v>
      </c>
      <c r="E8" s="13">
        <v>21.471515151515153</v>
      </c>
      <c r="F8" s="13">
        <v>21.822228739002934</v>
      </c>
      <c r="G8" s="13">
        <v>21.145151515151515</v>
      </c>
      <c r="H8" s="13">
        <v>20.798357771260996</v>
      </c>
      <c r="I8" s="13">
        <v>20.825219941348973</v>
      </c>
      <c r="J8" s="13">
        <v>20.88545454545455</v>
      </c>
      <c r="K8" s="13">
        <v>20.675366568914956</v>
      </c>
      <c r="L8" s="13">
        <v>19.715757575757575</v>
      </c>
      <c r="M8" s="13">
        <v>17.131524926686218</v>
      </c>
      <c r="N8" s="10">
        <f t="shared" si="4"/>
        <v>19.962129877754183</v>
      </c>
    </row>
    <row r="9" ht="13" customHeight="1">
      <c r="A9" s="11" t="s">
        <v>19</v>
      </c>
      <c r="B9" s="14">
        <v>61.121764705882349</v>
      </c>
      <c r="C9" s="15">
        <v>62.018235294117645</v>
      </c>
      <c r="D9" s="15">
        <v>69.867647058823536</v>
      </c>
      <c r="E9" s="15">
        <v>75.367647058823536</v>
      </c>
      <c r="F9" s="15">
        <v>77.632352941176464</v>
      </c>
      <c r="G9" s="15">
        <v>80.35294117647058</v>
      </c>
      <c r="H9" s="15">
        <v>83.284705882352938</v>
      </c>
      <c r="I9" s="15">
        <v>84.049999999999997</v>
      </c>
      <c r="J9" s="15">
        <v>81.441176470588232</v>
      </c>
      <c r="K9" s="15">
        <v>79.555555555555557</v>
      </c>
      <c r="L9" s="15">
        <v>77.332352941176467</v>
      </c>
      <c r="M9" s="15">
        <v>69.428235294117641</v>
      </c>
      <c r="N9" s="10">
        <f t="shared" si="4"/>
        <v>75.121051198257064</v>
      </c>
    </row>
    <row r="10" ht="13" customHeight="1">
      <c r="A10" s="11" t="s">
        <v>20</v>
      </c>
      <c r="B10" s="12">
        <v>96.16153846153847</v>
      </c>
      <c r="C10" s="13">
        <v>91.276923076923069</v>
      </c>
      <c r="D10" s="13">
        <v>93.761538461538464</v>
      </c>
      <c r="E10" s="13">
        <v>97.669230769230779</v>
      </c>
      <c r="F10" s="13">
        <v>97.975000000000009</v>
      </c>
      <c r="G10" s="13">
        <v>98.092307692307685</v>
      </c>
      <c r="H10" s="13">
        <v>98.069230769230771</v>
      </c>
      <c r="I10" s="13">
        <v>98.464285714285708</v>
      </c>
      <c r="J10" s="13">
        <v>98.92307692307692</v>
      </c>
      <c r="K10" s="13">
        <v>99.04285714285713</v>
      </c>
      <c r="L10" s="13">
        <v>98.692307692307693</v>
      </c>
      <c r="M10" s="13">
        <v>98.08461538461539</v>
      </c>
      <c r="N10" s="10">
        <f t="shared" si="4"/>
        <v>97.184409340659329</v>
      </c>
    </row>
    <row r="11" ht="13" customHeight="1">
      <c r="A11" s="11" t="s">
        <v>21</v>
      </c>
      <c r="B11" s="14">
        <v>29.723076923076917</v>
      </c>
      <c r="C11" s="15">
        <v>26.561538461538458</v>
      </c>
      <c r="D11" s="15">
        <v>41.869230769230775</v>
      </c>
      <c r="E11" s="15">
        <v>53.161538461538463</v>
      </c>
      <c r="F11" s="15">
        <v>56.466666666666661</v>
      </c>
      <c r="G11" s="15">
        <v>61.707692307692305</v>
      </c>
      <c r="H11" s="15">
        <v>67.407692307692301</v>
      </c>
      <c r="I11" s="15">
        <v>69.299999999999997</v>
      </c>
      <c r="J11" s="15">
        <v>63.361538461538458</v>
      </c>
      <c r="K11" s="15">
        <v>59.321428571428569</v>
      </c>
      <c r="L11" s="15">
        <v>54.746153846153852</v>
      </c>
      <c r="M11" s="15">
        <v>38.607692307692311</v>
      </c>
      <c r="N11" s="10">
        <f t="shared" si="4"/>
        <v>51.8528540903541</v>
      </c>
    </row>
    <row r="12" ht="5.25" customHeight="1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ht="24" customHeight="1">
      <c r="A13" s="17" t="s">
        <v>2</v>
      </c>
      <c r="B13" s="18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G13" s="5" t="s">
        <v>8</v>
      </c>
      <c r="H13" s="5" t="s">
        <v>9</v>
      </c>
      <c r="I13" s="5" t="s">
        <v>10</v>
      </c>
      <c r="J13" s="5" t="s">
        <v>11</v>
      </c>
      <c r="K13" s="5" t="s">
        <v>12</v>
      </c>
      <c r="L13" s="5" t="s">
        <v>13</v>
      </c>
      <c r="M13" s="5" t="s">
        <v>14</v>
      </c>
      <c r="N13" s="6" t="s">
        <v>22</v>
      </c>
    </row>
    <row r="14" ht="13" customHeight="1">
      <c r="A14" s="19" t="s">
        <v>23</v>
      </c>
      <c r="B14" s="12">
        <v>19.018891372116322</v>
      </c>
      <c r="C14" s="13">
        <v>47.476899114432463</v>
      </c>
      <c r="D14" s="13">
        <v>99.878156410533322</v>
      </c>
      <c r="E14" s="13">
        <v>140.09842049274997</v>
      </c>
      <c r="F14" s="13">
        <v>149.57151215896494</v>
      </c>
      <c r="G14" s="13">
        <v>185.57321080057244</v>
      </c>
      <c r="H14" s="13">
        <v>200.35739232990579</v>
      </c>
      <c r="I14" s="13">
        <v>296.30348148080702</v>
      </c>
      <c r="J14" s="13">
        <v>280.68884383585959</v>
      </c>
      <c r="K14" s="13">
        <v>175.44994999301755</v>
      </c>
      <c r="L14" s="13">
        <v>51.114518671305255</v>
      </c>
      <c r="M14" s="13">
        <v>17.482396903082456</v>
      </c>
      <c r="N14" s="10">
        <f t="shared" ref="N14:N15" si="5">SUM(B14:M14)</f>
        <v>1663.0136735633471</v>
      </c>
    </row>
    <row r="15" ht="13" customHeight="1">
      <c r="A15" s="19" t="s">
        <v>24</v>
      </c>
      <c r="B15" s="22">
        <v>2.0666666666666669</v>
      </c>
      <c r="C15" s="23">
        <v>5.2999999999999998</v>
      </c>
      <c r="D15" s="23">
        <v>11.866666666666667</v>
      </c>
      <c r="E15" s="23">
        <v>12.533333333333333</v>
      </c>
      <c r="F15" s="23">
        <v>12.966666666666667</v>
      </c>
      <c r="G15" s="23">
        <v>13.066666666666666</v>
      </c>
      <c r="H15" s="23">
        <v>13.166666666666666</v>
      </c>
      <c r="I15" s="23">
        <v>17.600000000000001</v>
      </c>
      <c r="J15" s="23">
        <v>17.600000000000001</v>
      </c>
      <c r="K15" s="23">
        <v>13.9</v>
      </c>
      <c r="L15" s="23">
        <v>6.4333333333333336</v>
      </c>
      <c r="M15" s="23">
        <v>2.1333333333333333</v>
      </c>
      <c r="N15" s="10">
        <f t="shared" si="5"/>
        <v>128.63333333333333</v>
      </c>
    </row>
  </sheetData>
  <mergeCells count="2">
    <mergeCell ref="D2:K2"/>
    <mergeCell ref="D3:J3"/>
  </mergeCells>
  <printOptions headings="0" gridLines="0"/>
  <pageMargins left="1.04" right="0.31" top="0.78740157480314954" bottom="0.39370078740157477" header="0.51181102362204722" footer="0.21000000000000002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&amp;L&amp;"Comic Sans MS,Gras"&amp;11SODEXAM
Direction de la Météorologie Nationale</oddHeader>
    <oddFooter>&amp;C&amp;7SODEXAM / DMN / DCAM / Svce Climato ; 15 BP 990 Abidjan 15 ; tél : 21 58 20 01 ; Fax : 21 27 73 44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euil16">
    <tabColor rgb="FF00B050"/>
    <outlinePr applyStyles="0" summaryBelow="1" summaryRight="1" showOutlineSymbols="1"/>
    <pageSetUpPr autoPageBreaks="1" fitToPage="0"/>
  </sheetPr>
  <sheetViews>
    <sheetView showGridLines="0" topLeftCell="A10" zoomScale="100" workbookViewId="0">
      <selection activeCell="J17" activeCellId="0" sqref="J17"/>
    </sheetView>
  </sheetViews>
  <sheetFormatPr baseColWidth="10" defaultRowHeight="12.75"/>
  <cols>
    <col bestFit="1" customWidth="1" min="1" max="1" width="23.7265625"/>
    <col customWidth="1" min="2" max="2" width="8.1796875"/>
    <col customWidth="1" min="3" max="3" width="7.54296875"/>
    <col customWidth="1" min="4" max="5" width="8.1796875"/>
    <col customWidth="1" min="6" max="6" width="8.453125"/>
    <col customWidth="1" min="7" max="14" width="8.7265625"/>
  </cols>
  <sheetData>
    <row r="2" ht="16.5">
      <c r="D2" s="1" t="s">
        <v>27</v>
      </c>
      <c r="E2" s="1"/>
      <c r="F2" s="1"/>
      <c r="G2" s="1"/>
      <c r="H2" s="1"/>
      <c r="I2" s="1"/>
      <c r="J2" s="1"/>
      <c r="K2" s="1"/>
    </row>
    <row r="3" ht="15">
      <c r="D3" s="2" t="s">
        <v>1</v>
      </c>
      <c r="E3" s="2"/>
      <c r="F3" s="2"/>
      <c r="G3" s="2"/>
      <c r="H3" s="2"/>
      <c r="I3" s="2"/>
      <c r="J3" s="2"/>
      <c r="M3" s="24"/>
      <c r="N3" s="25" t="s">
        <v>28</v>
      </c>
    </row>
    <row r="4" ht="10.5" customHeight="1"/>
    <row r="5" ht="24.75" customHeight="1">
      <c r="A5" s="3" t="s">
        <v>2</v>
      </c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6" t="s">
        <v>15</v>
      </c>
    </row>
    <row r="6" ht="13" customHeight="1">
      <c r="A6" s="26" t="s">
        <v>16</v>
      </c>
      <c r="B6" s="27">
        <v>25.102186277419353</v>
      </c>
      <c r="C6" s="27">
        <v>27.614042167969348</v>
      </c>
      <c r="D6" s="27">
        <v>27.971410016566306</v>
      </c>
      <c r="E6" s="27">
        <v>27.446638556321833</v>
      </c>
      <c r="F6" s="27">
        <v>26.803620605302186</v>
      </c>
      <c r="G6" s="27">
        <v>25.896315547555549</v>
      </c>
      <c r="H6" s="27">
        <v>24.838773142193549</v>
      </c>
      <c r="I6" s="27">
        <v>24.911630898838713</v>
      </c>
      <c r="J6" s="27">
        <v>25.43379721155555</v>
      </c>
      <c r="K6" s="27">
        <v>25.789890291440862</v>
      </c>
      <c r="L6" s="27">
        <v>25.918764658390803</v>
      </c>
      <c r="M6" s="27">
        <v>24.811043347430473</v>
      </c>
      <c r="N6" s="10">
        <f t="shared" ref="N6:N11" si="6">AVERAGE(B6:M6)</f>
        <v>26.044842726748712</v>
      </c>
    </row>
    <row r="7" ht="13" customHeight="1">
      <c r="A7" s="28" t="s">
        <v>17</v>
      </c>
      <c r="B7" s="13">
        <v>34.640322580645154</v>
      </c>
      <c r="C7" s="13">
        <v>36.044310344827586</v>
      </c>
      <c r="D7" s="13">
        <v>35.657903225806443</v>
      </c>
      <c r="E7" s="13">
        <v>34.337166666666668</v>
      </c>
      <c r="F7" s="13">
        <v>33.383717357910911</v>
      </c>
      <c r="G7" s="13">
        <v>31.755454545454544</v>
      </c>
      <c r="H7" s="13">
        <v>30.323900293255132</v>
      </c>
      <c r="I7" s="13">
        <v>30.038709677419366</v>
      </c>
      <c r="J7" s="13">
        <v>31.316969696969696</v>
      </c>
      <c r="K7" s="13">
        <v>32.219201228878653</v>
      </c>
      <c r="L7" s="13">
        <v>32.976515151515152</v>
      </c>
      <c r="M7" s="13">
        <v>32.923809523809524</v>
      </c>
      <c r="N7" s="10">
        <f t="shared" si="6"/>
        <v>32.968165024429901</v>
      </c>
    </row>
    <row r="8" ht="13" customHeight="1">
      <c r="A8" s="28" t="s">
        <v>18</v>
      </c>
      <c r="B8" s="13">
        <v>16.577712609970675</v>
      </c>
      <c r="C8" s="13">
        <v>19.518948275862066</v>
      </c>
      <c r="D8" s="13">
        <v>21.388064516129031</v>
      </c>
      <c r="E8" s="13">
        <v>21.308166666666665</v>
      </c>
      <c r="F8" s="13">
        <v>20.926574500768051</v>
      </c>
      <c r="G8" s="13">
        <v>20.62712121212121</v>
      </c>
      <c r="H8" s="13">
        <v>19.983431085043989</v>
      </c>
      <c r="I8" s="13">
        <v>20.04852734922861</v>
      </c>
      <c r="J8" s="13">
        <v>20.482727272727274</v>
      </c>
      <c r="K8" s="13">
        <v>20.405222734254991</v>
      </c>
      <c r="L8" s="13">
        <v>19.585606060606061</v>
      </c>
      <c r="M8" s="13">
        <v>17.338402457757294</v>
      </c>
      <c r="N8" s="10">
        <f t="shared" si="6"/>
        <v>19.849208728427993</v>
      </c>
    </row>
    <row r="9" ht="13" customHeight="1">
      <c r="A9" s="28" t="s">
        <v>19</v>
      </c>
      <c r="B9" s="29">
        <v>65.416841491841495</v>
      </c>
      <c r="C9" s="29">
        <v>64.884615384615387</v>
      </c>
      <c r="D9" s="29">
        <v>70.695999999999998</v>
      </c>
      <c r="E9" s="29">
        <v>75.265384615384619</v>
      </c>
      <c r="F9" s="29">
        <v>77.861538461538458</v>
      </c>
      <c r="G9" s="29">
        <v>79.903703703703712</v>
      </c>
      <c r="H9" s="29">
        <v>81.496153846153845</v>
      </c>
      <c r="I9" s="29">
        <v>80.381481481481487</v>
      </c>
      <c r="J9" s="29">
        <v>79.998076923076923</v>
      </c>
      <c r="K9" s="29">
        <v>78.616666666666674</v>
      </c>
      <c r="L9" s="29">
        <v>77.088461538461544</v>
      </c>
      <c r="M9" s="29">
        <v>72.461538461538467</v>
      </c>
      <c r="N9" s="10">
        <f t="shared" si="6"/>
        <v>75.339205214538552</v>
      </c>
    </row>
    <row r="10" ht="13" customHeight="1">
      <c r="A10" s="28" t="s">
        <v>20</v>
      </c>
      <c r="B10" s="30">
        <v>95.840000000000003</v>
      </c>
      <c r="C10" s="30">
        <v>93.557894736842101</v>
      </c>
      <c r="D10" s="30">
        <v>96.126315789473693</v>
      </c>
      <c r="E10" s="30">
        <v>97.431578947368422</v>
      </c>
      <c r="F10" s="30">
        <v>98.034999999999997</v>
      </c>
      <c r="G10" s="30">
        <v>98.652380952380938</v>
      </c>
      <c r="H10" s="30">
        <v>98.071428571428569</v>
      </c>
      <c r="I10" s="30">
        <v>97.645454545454541</v>
      </c>
      <c r="J10" s="30">
        <v>98.052380952380972</v>
      </c>
      <c r="K10" s="30">
        <v>98.305000000000007</v>
      </c>
      <c r="L10" s="30">
        <v>94.609523809523836</v>
      </c>
      <c r="M10" s="30">
        <v>98.330000000000013</v>
      </c>
      <c r="N10" s="10">
        <f t="shared" si="6"/>
        <v>97.054746525404411</v>
      </c>
    </row>
    <row r="11" ht="13" customHeight="1">
      <c r="A11" s="28" t="s">
        <v>21</v>
      </c>
      <c r="B11" s="29">
        <v>32.314999999999998</v>
      </c>
      <c r="C11" s="29">
        <v>33.800000000000004</v>
      </c>
      <c r="D11" s="29">
        <v>45.831578947368413</v>
      </c>
      <c r="E11" s="29">
        <v>53.71052631578948</v>
      </c>
      <c r="F11" s="29">
        <v>57.689999999999984</v>
      </c>
      <c r="G11" s="29">
        <v>62.252380952380953</v>
      </c>
      <c r="H11" s="29">
        <v>64.604761904761901</v>
      </c>
      <c r="I11" s="29">
        <v>64.086363636363629</v>
      </c>
      <c r="J11" s="29">
        <v>61.995238095238086</v>
      </c>
      <c r="K11" s="29">
        <v>58.285000000000004</v>
      </c>
      <c r="L11" s="29">
        <v>53.528571428571425</v>
      </c>
      <c r="M11" s="29">
        <v>43.814999999999998</v>
      </c>
      <c r="N11" s="10">
        <f t="shared" si="6"/>
        <v>52.659535106706166</v>
      </c>
    </row>
    <row r="12" ht="5.25" customHeight="1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ht="24" customHeight="1">
      <c r="A13" s="17" t="s">
        <v>2</v>
      </c>
      <c r="B13" s="18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G13" s="5" t="s">
        <v>8</v>
      </c>
      <c r="H13" s="5" t="s">
        <v>9</v>
      </c>
      <c r="I13" s="5" t="s">
        <v>10</v>
      </c>
      <c r="J13" s="5" t="s">
        <v>11</v>
      </c>
      <c r="K13" s="5" t="s">
        <v>12</v>
      </c>
      <c r="L13" s="5" t="s">
        <v>13</v>
      </c>
      <c r="M13" s="5" t="s">
        <v>14</v>
      </c>
      <c r="N13" s="6" t="s">
        <v>22</v>
      </c>
    </row>
    <row r="14" ht="13" customHeight="1">
      <c r="A14" s="11" t="s">
        <v>23</v>
      </c>
      <c r="B14" s="12">
        <v>10.380849879879332</v>
      </c>
      <c r="C14" s="13">
        <v>45.011818579533347</v>
      </c>
      <c r="D14" s="13">
        <v>108.36405665033334</v>
      </c>
      <c r="E14" s="13">
        <v>135.86816170993336</v>
      </c>
      <c r="F14" s="13">
        <v>150.628571978</v>
      </c>
      <c r="G14" s="13">
        <v>162.76016883333332</v>
      </c>
      <c r="H14" s="13">
        <v>108.13801094459997</v>
      </c>
      <c r="I14" s="13">
        <v>88.911091171100011</v>
      </c>
      <c r="J14" s="13">
        <v>142.97773068000001</v>
      </c>
      <c r="K14" s="13">
        <v>134.49438823599999</v>
      </c>
      <c r="L14" s="13">
        <v>59.425040321333334</v>
      </c>
      <c r="M14" s="13">
        <v>18.406863704933336</v>
      </c>
      <c r="N14" s="10">
        <f t="shared" ref="N14:N15" si="7">SUM(B14:M14)</f>
        <v>1165.3667526889794</v>
      </c>
    </row>
    <row r="15" ht="13" customHeight="1">
      <c r="A15" s="11" t="s">
        <v>24</v>
      </c>
      <c r="B15" s="31">
        <v>1.2333333333333334</v>
      </c>
      <c r="C15" s="32">
        <v>4.0999999999999996</v>
      </c>
      <c r="D15" s="32">
        <v>8.9666666666666668</v>
      </c>
      <c r="E15" s="32">
        <v>10.766666666666667</v>
      </c>
      <c r="F15" s="32">
        <v>12.033333333333333</v>
      </c>
      <c r="G15" s="32">
        <v>13.933333333333334</v>
      </c>
      <c r="H15" s="32">
        <v>10.4</v>
      </c>
      <c r="I15" s="32">
        <v>11.166666666666666</v>
      </c>
      <c r="J15" s="32">
        <v>14.466666666666667</v>
      </c>
      <c r="K15" s="32">
        <v>13.300000000000001</v>
      </c>
      <c r="L15" s="32">
        <v>6.7000000000000002</v>
      </c>
      <c r="M15" s="32">
        <v>2.4666666666666668</v>
      </c>
      <c r="N15" s="10">
        <f t="shared" si="7"/>
        <v>109.53333333333333</v>
      </c>
    </row>
  </sheetData>
  <mergeCells count="2">
    <mergeCell ref="D2:K2"/>
    <mergeCell ref="D3:J3"/>
  </mergeCells>
  <printOptions headings="0" gridLines="0"/>
  <pageMargins left="1.0236220472440944" right="0.31496062992125984" top="0.39370078740157477" bottom="0.39370078740157477" header="0.51181102362204722" footer="0.19685039370078738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&amp;L&amp;"Comic Sans MS,Gras"&amp;11SODEXAM
Direction de la Météorologie Nationale</oddHeader>
    <oddFooter>&amp;C&amp;7SODEXAM / DMN / DCAM / Svce Climato ; 15 BP 990 Abidjan 15 ; tél : 21 58 20 01 ; Fax : 21 27 73 44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euil22">
    <tabColor rgb="FF0070C0"/>
    <outlinePr applyStyles="0" summaryBelow="1" summaryRight="1" showOutlineSymbols="1"/>
    <pageSetUpPr autoPageBreaks="1" fitToPage="0"/>
  </sheetPr>
  <sheetViews>
    <sheetView showGridLines="0" topLeftCell="A2" zoomScale="100" workbookViewId="0">
      <selection activeCell="I13" activeCellId="0" sqref="I13"/>
    </sheetView>
  </sheetViews>
  <sheetFormatPr baseColWidth="10" defaultRowHeight="12.75"/>
  <cols>
    <col bestFit="1" customWidth="1" min="1" max="1" width="23.7265625"/>
    <col customWidth="1" min="2" max="2" width="8.26953125"/>
    <col customWidth="1" min="3" max="3" width="8.1796875"/>
    <col customWidth="1" min="4" max="5" width="7.81640625"/>
    <col customWidth="1" min="6" max="13" width="8.7265625"/>
    <col customWidth="1" min="14" max="14" width="10.453125"/>
  </cols>
  <sheetData>
    <row r="2" ht="16.5">
      <c r="D2" s="1" t="s">
        <v>29</v>
      </c>
      <c r="E2" s="1"/>
      <c r="F2" s="1"/>
      <c r="G2" s="1"/>
      <c r="H2" s="1"/>
      <c r="I2" s="1"/>
      <c r="J2" s="1"/>
      <c r="K2" s="1"/>
    </row>
    <row r="3" ht="15">
      <c r="D3" s="2" t="s">
        <v>1</v>
      </c>
      <c r="E3" s="2"/>
      <c r="F3" s="2"/>
      <c r="G3" s="2"/>
      <c r="H3" s="2"/>
      <c r="I3" s="2"/>
      <c r="J3" s="2"/>
      <c r="M3" s="33"/>
    </row>
    <row r="4" ht="13"/>
    <row r="5" ht="24.75" customHeight="1">
      <c r="A5" s="3" t="s">
        <v>2</v>
      </c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6" t="s">
        <v>15</v>
      </c>
    </row>
    <row r="6" ht="13" customHeight="1">
      <c r="A6" s="7" t="s">
        <v>16</v>
      </c>
      <c r="B6" s="8">
        <v>27.646896551724129</v>
      </c>
      <c r="C6" s="9">
        <v>28.327586206896552</v>
      </c>
      <c r="D6" s="34">
        <v>28.58896551724138</v>
      </c>
      <c r="E6" s="34">
        <v>28.570714285714295</v>
      </c>
      <c r="F6" s="9">
        <v>28.101034482758614</v>
      </c>
      <c r="G6" s="9">
        <v>26.744074074074078</v>
      </c>
      <c r="H6" s="9">
        <v>25.528928571428576</v>
      </c>
      <c r="I6" s="9">
        <v>24.637130144605116</v>
      </c>
      <c r="J6" s="9">
        <v>25.402857142857147</v>
      </c>
      <c r="K6" s="9">
        <v>26.803333333333331</v>
      </c>
      <c r="L6" s="9">
        <v>27.958148148148148</v>
      </c>
      <c r="M6" s="9">
        <v>28.058846153846158</v>
      </c>
      <c r="N6" s="35">
        <f t="shared" ref="N6:N11" si="8">AVERAGE(B6:M6)</f>
        <v>27.197376217718958</v>
      </c>
    </row>
    <row r="7" ht="13" customHeight="1">
      <c r="A7" s="11" t="s">
        <v>17</v>
      </c>
      <c r="B7" s="12">
        <v>31.80057071960298</v>
      </c>
      <c r="C7" s="13">
        <v>32.402148541114059</v>
      </c>
      <c r="D7" s="13">
        <v>32.385235732009932</v>
      </c>
      <c r="E7" s="13">
        <v>32.230666666666664</v>
      </c>
      <c r="F7" s="13">
        <v>31.605089605734769</v>
      </c>
      <c r="G7" s="13">
        <v>29.746933333333335</v>
      </c>
      <c r="H7" s="13">
        <v>28.509565756823825</v>
      </c>
      <c r="I7" s="13">
        <v>27.909379652605455</v>
      </c>
      <c r="J7" s="13">
        <v>28.771944444444443</v>
      </c>
      <c r="K7" s="13">
        <v>30.305287517531561</v>
      </c>
      <c r="L7" s="13">
        <v>31.669130434782609</v>
      </c>
      <c r="M7" s="13">
        <v>31.381697054698456</v>
      </c>
      <c r="N7" s="10">
        <f t="shared" si="8"/>
        <v>30.726470788279013</v>
      </c>
    </row>
    <row r="8" ht="13" customHeight="1">
      <c r="A8" s="11" t="s">
        <v>18</v>
      </c>
      <c r="B8" s="12">
        <v>24.348771712158815</v>
      </c>
      <c r="C8" s="13">
        <v>25.52781167108753</v>
      </c>
      <c r="D8" s="13">
        <v>25.647034739454096</v>
      </c>
      <c r="E8" s="13">
        <v>25.566266666666671</v>
      </c>
      <c r="F8" s="13">
        <v>25.276606929510155</v>
      </c>
      <c r="G8" s="13">
        <v>24.460399999999996</v>
      </c>
      <c r="H8" s="13">
        <v>23.480607940446649</v>
      </c>
      <c r="I8" s="13">
        <v>22.540099255583129</v>
      </c>
      <c r="J8" s="13">
        <v>23.236249999999998</v>
      </c>
      <c r="K8" s="13">
        <v>24.419410939691442</v>
      </c>
      <c r="L8" s="13">
        <v>25.008115942028983</v>
      </c>
      <c r="M8" s="13">
        <v>25.014698457223002</v>
      </c>
      <c r="N8" s="10">
        <f t="shared" si="8"/>
        <v>24.543839521154208</v>
      </c>
    </row>
    <row r="9" ht="13" customHeight="1">
      <c r="A9" s="11" t="s">
        <v>19</v>
      </c>
      <c r="B9" s="36">
        <v>78.033928571428575</v>
      </c>
      <c r="C9" s="29">
        <v>80.176785714285714</v>
      </c>
      <c r="D9" s="29">
        <v>80.487499999999997</v>
      </c>
      <c r="E9" s="29">
        <v>80.701851851851842</v>
      </c>
      <c r="F9" s="29">
        <v>82.1875</v>
      </c>
      <c r="G9" s="29">
        <v>84.650000000000006</v>
      </c>
      <c r="H9" s="29">
        <v>85.608928571428578</v>
      </c>
      <c r="I9" s="29">
        <v>86.496296296296293</v>
      </c>
      <c r="J9" s="29">
        <v>86.305555555555557</v>
      </c>
      <c r="K9" s="29">
        <v>83.751851851851853</v>
      </c>
      <c r="L9" s="29">
        <v>81.255769230769218</v>
      </c>
      <c r="M9" s="29">
        <v>79.401923076923069</v>
      </c>
      <c r="N9" s="10">
        <f t="shared" si="8"/>
        <v>82.421490893365885</v>
      </c>
    </row>
    <row r="10" ht="13" customHeight="1">
      <c r="A10" s="11" t="s">
        <v>20</v>
      </c>
      <c r="B10" s="37">
        <v>95.832000000000008</v>
      </c>
      <c r="C10" s="30">
        <v>95.260000000000005</v>
      </c>
      <c r="D10" s="30">
        <v>94.496000000000024</v>
      </c>
      <c r="E10" s="30">
        <v>93.716666666666654</v>
      </c>
      <c r="F10" s="30">
        <v>95.234615384615381</v>
      </c>
      <c r="G10" s="30">
        <v>95.14800000000001</v>
      </c>
      <c r="H10" s="30">
        <v>96.323999999999998</v>
      </c>
      <c r="I10" s="30">
        <v>97.676000000000002</v>
      </c>
      <c r="J10" s="30">
        <v>97.103999999999999</v>
      </c>
      <c r="K10" s="30">
        <v>95.620833333333337</v>
      </c>
      <c r="L10" s="30">
        <v>93.995833333333351</v>
      </c>
      <c r="M10" s="30">
        <v>92.462499999999991</v>
      </c>
      <c r="N10" s="10">
        <f t="shared" si="8"/>
        <v>95.239204059829078</v>
      </c>
    </row>
    <row r="11" ht="13" customHeight="1">
      <c r="A11" s="11" t="s">
        <v>21</v>
      </c>
      <c r="B11" s="36">
        <v>60.356000000000002</v>
      </c>
      <c r="C11" s="29">
        <v>63.596000000000004</v>
      </c>
      <c r="D11" s="29">
        <v>65.703999999999994</v>
      </c>
      <c r="E11" s="29">
        <v>66.11666666666666</v>
      </c>
      <c r="F11" s="29">
        <v>69.303846153846152</v>
      </c>
      <c r="G11" s="29">
        <v>73.652000000000001</v>
      </c>
      <c r="H11" s="29">
        <v>75.471999999999994</v>
      </c>
      <c r="I11" s="29">
        <v>75.400000000000006</v>
      </c>
      <c r="J11" s="29">
        <v>74.044000000000011</v>
      </c>
      <c r="K11" s="29">
        <v>70.387499999999989</v>
      </c>
      <c r="L11" s="29">
        <v>67.254166666666663</v>
      </c>
      <c r="M11" s="29">
        <v>63.162499999999994</v>
      </c>
      <c r="N11" s="10">
        <f t="shared" si="8"/>
        <v>68.704056623931621</v>
      </c>
    </row>
    <row r="12" ht="5.25" customHeight="1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ht="24" customHeight="1">
      <c r="A13" s="38" t="s">
        <v>2</v>
      </c>
      <c r="B13" s="39" t="s">
        <v>3</v>
      </c>
      <c r="C13" s="40" t="s">
        <v>4</v>
      </c>
      <c r="D13" s="40" t="s">
        <v>5</v>
      </c>
      <c r="E13" s="40" t="s">
        <v>6</v>
      </c>
      <c r="F13" s="40" t="s">
        <v>7</v>
      </c>
      <c r="G13" s="40" t="s">
        <v>8</v>
      </c>
      <c r="H13" s="40" t="s">
        <v>9</v>
      </c>
      <c r="I13" s="40" t="s">
        <v>10</v>
      </c>
      <c r="J13" s="40" t="s">
        <v>11</v>
      </c>
      <c r="K13" s="40" t="s">
        <v>12</v>
      </c>
      <c r="L13" s="40" t="s">
        <v>13</v>
      </c>
      <c r="M13" s="40" t="s">
        <v>14</v>
      </c>
      <c r="N13" s="6" t="s">
        <v>22</v>
      </c>
    </row>
    <row r="14" ht="13" customHeight="1">
      <c r="A14" s="11" t="s">
        <v>23</v>
      </c>
      <c r="B14" s="12">
        <v>24.379310344827587</v>
      </c>
      <c r="C14" s="13">
        <v>41.365517241379308</v>
      </c>
      <c r="D14" s="13">
        <v>88.314285714285731</v>
      </c>
      <c r="E14" s="13">
        <v>179.09259259259255</v>
      </c>
      <c r="F14" s="13">
        <v>273.83793103448278</v>
      </c>
      <c r="G14" s="13">
        <v>441.19999999999999</v>
      </c>
      <c r="H14" s="13">
        <v>135.46206896551726</v>
      </c>
      <c r="I14" s="13">
        <v>26.031034482758624</v>
      </c>
      <c r="J14" s="13">
        <v>57.513793103448286</v>
      </c>
      <c r="K14" s="13">
        <v>202.68620689655171</v>
      </c>
      <c r="L14" s="13">
        <v>169.95000000000002</v>
      </c>
      <c r="M14" s="13">
        <v>72.424999999999997</v>
      </c>
      <c r="N14" s="10">
        <f t="shared" ref="N14:N15" si="9">SUM(B14:M14)</f>
        <v>1712.2577403758439</v>
      </c>
    </row>
    <row r="15" ht="13" customHeight="1">
      <c r="A15" s="11" t="s">
        <v>24</v>
      </c>
      <c r="B15" s="31">
        <v>2.7666666666666666</v>
      </c>
      <c r="C15" s="32">
        <v>4.4000000000000004</v>
      </c>
      <c r="D15" s="32">
        <v>8.9666666666666668</v>
      </c>
      <c r="E15" s="32">
        <v>12</v>
      </c>
      <c r="F15" s="32">
        <v>17</v>
      </c>
      <c r="G15" s="32">
        <v>18.933333333333334</v>
      </c>
      <c r="H15" s="32">
        <v>11.4</v>
      </c>
      <c r="I15" s="32">
        <v>9.2666666666666675</v>
      </c>
      <c r="J15" s="32">
        <v>10.833333333333334</v>
      </c>
      <c r="K15" s="32">
        <v>15.666666666666666</v>
      </c>
      <c r="L15" s="32">
        <v>15.366666666666667</v>
      </c>
      <c r="M15" s="32">
        <v>7.5333333333333332</v>
      </c>
      <c r="N15" s="10">
        <f t="shared" si="9"/>
        <v>134.13333333333333</v>
      </c>
    </row>
  </sheetData>
  <mergeCells count="2">
    <mergeCell ref="D2:K2"/>
    <mergeCell ref="D3:J3"/>
  </mergeCells>
  <printOptions headings="0" gridLines="0"/>
  <pageMargins left="1.04" right="0.31" top="0.78740157480314954" bottom="0.39370078740157477" header="0.51181102362204722" footer="0.21000000000000002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&amp;L&amp;"Comic Sans MS,Gras"&amp;11SODEXAM
Direction de la Météorologie Nationale</oddHeader>
    <oddFooter>&amp;C&amp;7SODEXAM / DMN / DCAM / Svce Climato ; 15 BP 990 Abidjan 15 ; tél : 21 58 20 01 ; Fax : 21 27 73 44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Feuil26">
    <tabColor theme="1" tint="0"/>
    <outlinePr applyStyles="0" summaryBelow="1" summaryRight="1" showOutlineSymbols="1"/>
    <pageSetUpPr autoPageBreaks="1" fitToPage="0"/>
  </sheetPr>
  <sheetViews>
    <sheetView showGridLines="0" zoomScale="100" workbookViewId="0">
      <selection activeCell="A9" activeCellId="0" sqref="A9"/>
    </sheetView>
  </sheetViews>
  <sheetFormatPr baseColWidth="10" defaultRowHeight="12.75"/>
  <cols>
    <col bestFit="1" customWidth="1" min="1" max="1" width="23.7265625"/>
    <col customWidth="1" min="2" max="2" width="7.81640625"/>
    <col customWidth="1" min="3" max="3" width="8.1796875"/>
    <col customWidth="1" min="4" max="4" width="8.26953125"/>
    <col customWidth="1" min="5" max="14" width="8.7265625"/>
  </cols>
  <sheetData>
    <row r="2" ht="16.5">
      <c r="D2" s="1" t="s">
        <v>30</v>
      </c>
      <c r="E2" s="1"/>
      <c r="F2" s="1"/>
      <c r="G2" s="1"/>
      <c r="H2" s="1"/>
      <c r="I2" s="1"/>
      <c r="J2" s="1"/>
      <c r="K2" s="1"/>
    </row>
    <row r="3" ht="15">
      <c r="D3" s="2" t="s">
        <v>1</v>
      </c>
      <c r="E3" s="2"/>
      <c r="F3" s="2"/>
      <c r="G3" s="2"/>
      <c r="H3" s="2"/>
      <c r="I3" s="2"/>
      <c r="J3" s="2"/>
    </row>
    <row r="4" ht="13"/>
    <row r="5" ht="24.75" customHeight="1">
      <c r="A5" s="3" t="s">
        <v>2</v>
      </c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6" t="s">
        <v>15</v>
      </c>
    </row>
    <row r="6" ht="13" customHeight="1">
      <c r="A6" s="7" t="s">
        <v>16</v>
      </c>
      <c r="B6" s="41">
        <v>26.710053763440854</v>
      </c>
      <c r="C6" s="27">
        <v>27.362160919540226</v>
      </c>
      <c r="D6" s="27">
        <v>27.566978494623655</v>
      </c>
      <c r="E6" s="27">
        <v>27.711547619047622</v>
      </c>
      <c r="F6" s="27">
        <v>27.093634408602153</v>
      </c>
      <c r="G6" s="27">
        <v>26.082888888888895</v>
      </c>
      <c r="H6" s="27">
        <v>25.18297552836485</v>
      </c>
      <c r="I6" s="27">
        <v>24.676318131256956</v>
      </c>
      <c r="J6" s="27">
        <v>25.188988095238098</v>
      </c>
      <c r="K6" s="27">
        <v>26.133670745272525</v>
      </c>
      <c r="L6" s="27">
        <v>26.870833333333337</v>
      </c>
      <c r="M6" s="27">
        <v>26.85714307048984</v>
      </c>
      <c r="N6" s="10">
        <f t="shared" ref="N6:N11" si="10">AVERAGE(B6:M6)</f>
        <v>26.453099416508252</v>
      </c>
    </row>
    <row r="7" ht="13" customHeight="1">
      <c r="A7" s="11" t="s">
        <v>17</v>
      </c>
      <c r="B7" s="12">
        <v>31.523397419354843</v>
      </c>
      <c r="C7" s="13">
        <v>31.925785919540235</v>
      </c>
      <c r="D7" s="13">
        <v>32.027213709677419</v>
      </c>
      <c r="E7" s="13">
        <v>31.692736111111113</v>
      </c>
      <c r="F7" s="13">
        <v>30.761780645161302</v>
      </c>
      <c r="G7" s="13">
        <v>28.854230769230771</v>
      </c>
      <c r="H7" s="13">
        <v>28.00654193548387</v>
      </c>
      <c r="I7" s="13">
        <v>27.740421935483869</v>
      </c>
      <c r="J7" s="13">
        <v>28.448263888888892</v>
      </c>
      <c r="K7" s="13">
        <v>29.793677419354839</v>
      </c>
      <c r="L7" s="13">
        <v>30.274666666666672</v>
      </c>
      <c r="M7" s="13">
        <v>30.894335483870972</v>
      </c>
      <c r="N7" s="10">
        <f t="shared" si="10"/>
        <v>30.161920991985401</v>
      </c>
    </row>
    <row r="8" ht="13" customHeight="1">
      <c r="A8" s="11" t="s">
        <v>18</v>
      </c>
      <c r="B8" s="12">
        <v>22.265221935483872</v>
      </c>
      <c r="C8" s="13">
        <v>23.248288793103441</v>
      </c>
      <c r="D8" s="13">
        <v>23.379271505376341</v>
      </c>
      <c r="E8" s="13">
        <v>23.394527777777778</v>
      </c>
      <c r="F8" s="13">
        <v>23.340051612903231</v>
      </c>
      <c r="G8" s="13">
        <v>23.075384615384614</v>
      </c>
      <c r="H8" s="13">
        <v>22.417741935483875</v>
      </c>
      <c r="I8" s="13">
        <v>22.02910709677419</v>
      </c>
      <c r="J8" s="13">
        <v>22.58679166666667</v>
      </c>
      <c r="K8" s="13">
        <v>22.891690322580644</v>
      </c>
      <c r="L8" s="13">
        <v>22.809199999999997</v>
      </c>
      <c r="M8" s="13">
        <v>22.663819354838711</v>
      </c>
      <c r="N8" s="10">
        <f t="shared" si="10"/>
        <v>22.841758051364451</v>
      </c>
    </row>
    <row r="9" ht="13" customHeight="1">
      <c r="A9" s="11" t="s">
        <v>19</v>
      </c>
      <c r="B9" s="36">
        <v>81.088793103448268</v>
      </c>
      <c r="C9" s="29">
        <v>82.33448275862068</v>
      </c>
      <c r="D9" s="29">
        <v>82.484482758620686</v>
      </c>
      <c r="E9" s="29">
        <v>81.50344827586207</v>
      </c>
      <c r="F9" s="29">
        <v>85.689999999999998</v>
      </c>
      <c r="G9" s="29">
        <v>87.049999999999997</v>
      </c>
      <c r="H9" s="29">
        <v>86.103448275862064</v>
      </c>
      <c r="I9" s="29">
        <v>86.775862068965523</v>
      </c>
      <c r="J9" s="29">
        <v>87.551785714285714</v>
      </c>
      <c r="K9" s="29">
        <v>86.368333333333339</v>
      </c>
      <c r="L9" s="29">
        <v>86.083333333333329</v>
      </c>
      <c r="M9" s="29">
        <v>84.470000000000013</v>
      </c>
      <c r="N9" s="10">
        <f t="shared" si="10"/>
        <v>84.791997468527654</v>
      </c>
    </row>
    <row r="10" ht="13" customHeight="1">
      <c r="A10" s="11" t="s">
        <v>20</v>
      </c>
      <c r="B10" s="37">
        <v>97.946153846153848</v>
      </c>
      <c r="C10" s="30">
        <v>97.319999999999993</v>
      </c>
      <c r="D10" s="30">
        <v>97.280000000000015</v>
      </c>
      <c r="E10" s="30">
        <v>97.912000000000006</v>
      </c>
      <c r="F10" s="30">
        <v>97.968000000000018</v>
      </c>
      <c r="G10" s="30">
        <v>97.034615384615407</v>
      </c>
      <c r="H10" s="30">
        <v>95.907692307692301</v>
      </c>
      <c r="I10" s="30">
        <v>96.783999999999992</v>
      </c>
      <c r="J10" s="30">
        <v>97.427999999999997</v>
      </c>
      <c r="K10" s="30">
        <v>97.646153846153837</v>
      </c>
      <c r="L10" s="30">
        <v>98.242307692307705</v>
      </c>
      <c r="M10" s="30">
        <v>98.242307692307676</v>
      </c>
      <c r="N10" s="10">
        <f t="shared" si="10"/>
        <v>97.475935897435889</v>
      </c>
    </row>
    <row r="11" ht="13" customHeight="1">
      <c r="A11" s="11" t="s">
        <v>21</v>
      </c>
      <c r="B11" s="36">
        <v>64.080769230769221</v>
      </c>
      <c r="C11" s="29">
        <v>65.312000000000012</v>
      </c>
      <c r="D11" s="29">
        <v>67.227999999999994</v>
      </c>
      <c r="E11" s="29">
        <v>70.091999999999999</v>
      </c>
      <c r="F11" s="29">
        <v>73.019999999999996</v>
      </c>
      <c r="G11" s="29">
        <v>77.353846153846149</v>
      </c>
      <c r="H11" s="29">
        <v>75.619230769230768</v>
      </c>
      <c r="I11" s="29">
        <v>76.748000000000005</v>
      </c>
      <c r="J11" s="29">
        <v>77.444000000000003</v>
      </c>
      <c r="K11" s="29">
        <v>75.188461538461553</v>
      </c>
      <c r="L11" s="29">
        <v>69.573076923076911</v>
      </c>
      <c r="M11" s="29">
        <v>69.688461538461553</v>
      </c>
      <c r="N11" s="10">
        <f t="shared" si="10"/>
        <v>71.778987179487174</v>
      </c>
    </row>
    <row r="12" ht="5.25" customHeight="1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ht="24" customHeight="1">
      <c r="A13" s="17" t="s">
        <v>2</v>
      </c>
      <c r="B13" s="18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G13" s="5" t="s">
        <v>8</v>
      </c>
      <c r="H13" s="5" t="s">
        <v>9</v>
      </c>
      <c r="I13" s="5" t="s">
        <v>10</v>
      </c>
      <c r="J13" s="5" t="s">
        <v>11</v>
      </c>
      <c r="K13" s="5" t="s">
        <v>12</v>
      </c>
      <c r="L13" s="5" t="s">
        <v>13</v>
      </c>
      <c r="M13" s="5" t="s">
        <v>14</v>
      </c>
      <c r="N13" s="6" t="s">
        <v>22</v>
      </c>
    </row>
    <row r="14" ht="13" customHeight="1">
      <c r="A14" s="19" t="s">
        <v>23</v>
      </c>
      <c r="B14" s="12">
        <v>21.629999999999995</v>
      </c>
      <c r="C14" s="13">
        <v>40.446666666666673</v>
      </c>
      <c r="D14" s="13">
        <v>56.700000000000003</v>
      </c>
      <c r="E14" s="13">
        <v>122.41724137931034</v>
      </c>
      <c r="F14" s="13">
        <v>240.02333333333328</v>
      </c>
      <c r="G14" s="13">
        <v>352.53666666666663</v>
      </c>
      <c r="H14" s="13">
        <v>121.44827586206893</v>
      </c>
      <c r="I14" s="13">
        <v>51.341379310344813</v>
      </c>
      <c r="J14" s="13">
        <v>61.299999999999997</v>
      </c>
      <c r="K14" s="13">
        <v>136.02068965517242</v>
      </c>
      <c r="L14" s="13">
        <v>147.15172413793101</v>
      </c>
      <c r="M14" s="13">
        <v>54.120689655172406</v>
      </c>
      <c r="N14" s="10">
        <f t="shared" ref="N14:N15" si="11">SUM(B14:M14)</f>
        <v>1405.1366666666665</v>
      </c>
    </row>
    <row r="15" ht="13" customHeight="1">
      <c r="A15" s="19" t="s">
        <v>24</v>
      </c>
      <c r="B15" s="31">
        <v>2.8666666666666667</v>
      </c>
      <c r="C15" s="32">
        <v>3.4333333333333331</v>
      </c>
      <c r="D15" s="32">
        <v>5.333333333333333</v>
      </c>
      <c r="E15" s="32">
        <v>9.1999999999999993</v>
      </c>
      <c r="F15" s="32">
        <v>16.166666666666668</v>
      </c>
      <c r="G15" s="32">
        <v>18.766666666666666</v>
      </c>
      <c r="H15" s="32">
        <v>12.300000000000001</v>
      </c>
      <c r="I15" s="32">
        <v>13.166666666666666</v>
      </c>
      <c r="J15" s="32">
        <v>13.766666666666667</v>
      </c>
      <c r="K15" s="32">
        <v>15.633333333333333</v>
      </c>
      <c r="L15" s="32">
        <v>15.133333333333333</v>
      </c>
      <c r="M15" s="32">
        <v>7.2000000000000002</v>
      </c>
      <c r="N15" s="10">
        <f t="shared" si="11"/>
        <v>132.96666666666664</v>
      </c>
    </row>
  </sheetData>
  <mergeCells count="2">
    <mergeCell ref="D2:K2"/>
    <mergeCell ref="D3:J3"/>
  </mergeCells>
  <printOptions headings="0" gridLines="0"/>
  <pageMargins left="1.04" right="0.31" top="0.78740157480314954" bottom="0.39370078740157477" header="0.51181102362204722" footer="0.21000000000000002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&amp;L&amp;"Comic Sans MS,Gras"&amp;11SODEXAM
Direction de la Météorologie Nationale</oddHeader>
    <oddFooter>&amp;C&amp;7SODEXAM / DMN / DCAM / Svce Climato ; 15 BP 990 Abidjan 15 ; tél : 21 58 20 01 ; Fax : 21 27 73 44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>SODEXAM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</dc:creator>
  <cp:revision>1</cp:revision>
  <dcterms:created xsi:type="dcterms:W3CDTF">2005-04-08T09:26:14Z</dcterms:created>
  <dcterms:modified xsi:type="dcterms:W3CDTF">2025-10-29T07:31:20Z</dcterms:modified>
</cp:coreProperties>
</file>